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44" windowWidth="20124" windowHeight="7248"/>
  </bookViews>
  <sheets>
    <sheet name="Tee 11h00" sheetId="2" r:id="rId1"/>
    <sheet name="Tee 5h30" sheetId="3" r:id="rId2"/>
    <sheet name="DS- Title" sheetId="5" r:id="rId3"/>
  </sheets>
  <calcPr calcId="144525"/>
</workbook>
</file>

<file path=xl/calcChain.xml><?xml version="1.0" encoding="utf-8"?>
<calcChain xmlns="http://schemas.openxmlformats.org/spreadsheetml/2006/main">
  <c r="K28" i="3" l="1"/>
  <c r="G10" i="2" l="1"/>
  <c r="G6" i="2"/>
  <c r="G7" i="2"/>
  <c r="G8" i="2"/>
  <c r="G9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A6" i="2"/>
  <c r="A185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4" i="2"/>
  <c r="A175" i="2"/>
  <c r="A176" i="2"/>
  <c r="A177" i="2"/>
  <c r="A178" i="2"/>
  <c r="A179" i="2"/>
  <c r="A180" i="2"/>
  <c r="A181" i="2"/>
  <c r="A182" i="2"/>
  <c r="A183" i="2"/>
  <c r="A184" i="2"/>
</calcChain>
</file>

<file path=xl/sharedStrings.xml><?xml version="1.0" encoding="utf-8"?>
<sst xmlns="http://schemas.openxmlformats.org/spreadsheetml/2006/main" count="921" uniqueCount="406">
  <si>
    <t>Trần Quang Huy</t>
  </si>
  <si>
    <t>Bùi Xuân Diệu</t>
  </si>
  <si>
    <t>Tạ Hồng Điệp</t>
  </si>
  <si>
    <t>Chu Đức Long</t>
  </si>
  <si>
    <t>Nguyễn Văn Lượng</t>
  </si>
  <si>
    <t>Nguyễn Mạnh Cường</t>
  </si>
  <si>
    <t>Bùi Văn Mạnh</t>
  </si>
  <si>
    <t>Nguyễn Trung Dũng</t>
  </si>
  <si>
    <t>Nguyễn Tiến Dũng</t>
  </si>
  <si>
    <t>Đặng Xuân Nguyên</t>
  </si>
  <si>
    <t>Trương Công Khải</t>
  </si>
  <si>
    <t>Đặng Thanh Sơn</t>
  </si>
  <si>
    <t>Trần Song Tùng</t>
  </si>
  <si>
    <t>Nguyễn Thanh Bình</t>
  </si>
  <si>
    <t>Đinh Việt Dũng</t>
  </si>
  <si>
    <t>Phạm Hải Anh</t>
  </si>
  <si>
    <t>Trịnh Ngọc Sơn</t>
  </si>
  <si>
    <t>Nguyễn Hoàng Anh</t>
  </si>
  <si>
    <t>Hứa Thị Lan Hương</t>
  </si>
  <si>
    <t>Nguyễn Đức Nhanh</t>
  </si>
  <si>
    <t>Trần Tuấn Anh</t>
  </si>
  <si>
    <t>Nguyễn Huy Hoàng</t>
  </si>
  <si>
    <t>Bùi Văn Tâm</t>
  </si>
  <si>
    <t>Nguyễn Thị Quỳnh</t>
  </si>
  <si>
    <t>Phan Trọng Hợp</t>
  </si>
  <si>
    <t>Hoàng Văn Lực</t>
  </si>
  <si>
    <t>Trần Quốc Trung</t>
  </si>
  <si>
    <t>Thái Thanh Phong</t>
  </si>
  <si>
    <t>Trần Thị Toàn</t>
  </si>
  <si>
    <t>Võ Thị Nguyệt</t>
  </si>
  <si>
    <t>Phùng Thị Thơm</t>
  </si>
  <si>
    <t>Trần Khắc Tường Duy</t>
  </si>
  <si>
    <t>Phan Văn Toàn</t>
  </si>
  <si>
    <t>Nguyễn Công Hùng</t>
  </si>
  <si>
    <t>Lê Thị Lưu</t>
  </si>
  <si>
    <t>Nguyễn Văn Phúc</t>
  </si>
  <si>
    <t>Trần Văn Mạnh</t>
  </si>
  <si>
    <t>Huỳnh Thiên</t>
  </si>
  <si>
    <t>Hoàng Anh Tuấn</t>
  </si>
  <si>
    <t>Trần Việt Hoàng</t>
  </si>
  <si>
    <t>Trần Quang Hoà</t>
  </si>
  <si>
    <t>Nguyễn Văn Đạt</t>
  </si>
  <si>
    <t>Đoàn Văn Toàn</t>
  </si>
  <si>
    <t>Trần Đại Hải Phúc</t>
  </si>
  <si>
    <t>Phạm Văn Hải</t>
  </si>
  <si>
    <t>Phạm Văn Tuần</t>
  </si>
  <si>
    <t>Trần Thanh Tú</t>
  </si>
  <si>
    <t>Lê Văn Cường</t>
  </si>
  <si>
    <t>Phạm Hồng Trường</t>
  </si>
  <si>
    <t>Trần Đình Phùng</t>
  </si>
  <si>
    <t>Lê Văn Đức</t>
  </si>
  <si>
    <t>Nguyễn Văn Minh</t>
  </si>
  <si>
    <t>Hoàng Văn Minh</t>
  </si>
  <si>
    <t>Đậu Ngọc Long</t>
  </si>
  <si>
    <t>Tăng Văn Luyện</t>
  </si>
  <si>
    <t>Lê Văn Dương</t>
  </si>
  <si>
    <t>Vũ Tuấn Dũng</t>
  </si>
  <si>
    <t>Hoàng Vĩnh Trường</t>
  </si>
  <si>
    <t>Bùi Duy Đông</t>
  </si>
  <si>
    <t>Nguyễn Công Hưng</t>
  </si>
  <si>
    <t>Vũ Hải Dương</t>
  </si>
  <si>
    <t>Đậu Xuân Khánh</t>
  </si>
  <si>
    <t>Nguyễn Văn Nam</t>
  </si>
  <si>
    <t>Nguyễn Văn Hòa</t>
  </si>
  <si>
    <t>Phạm Thế Anh</t>
  </si>
  <si>
    <t>Phạm Văn Cường</t>
  </si>
  <si>
    <t>Phạm Văn Dũng</t>
  </si>
  <si>
    <t>Hồ Trọng Hùng</t>
  </si>
  <si>
    <t>Trần Văn Quyết</t>
  </si>
  <si>
    <t>Hoàng Anh Dũng</t>
  </si>
  <si>
    <t>Lê Văn Thành</t>
  </si>
  <si>
    <t>Nguyễn Viết Tuấn</t>
  </si>
  <si>
    <t>Bùi Xuân Cường</t>
  </si>
  <si>
    <t>Nguyễn Trung Thành</t>
  </si>
  <si>
    <t>Trương Cao Cường</t>
  </si>
  <si>
    <t>Nguyễn Văn Tám</t>
  </si>
  <si>
    <t>Nguyễn Văn Lợi</t>
  </si>
  <si>
    <t>Nguyễn Xuân Lâm</t>
  </si>
  <si>
    <t>Trần Văn Trác</t>
  </si>
  <si>
    <t>Trần Sỹ Quỳnh</t>
  </si>
  <si>
    <t>Nguyễn Công Thành</t>
  </si>
  <si>
    <t>Mai Ngọc Khánh</t>
  </si>
  <si>
    <t>Hoàng Nam Khánh</t>
  </si>
  <si>
    <t>Trần Thanh Tùng</t>
  </si>
  <si>
    <t>Bùi Gia Kỳ</t>
  </si>
  <si>
    <t>Tô Hữu Trường</t>
  </si>
  <si>
    <t>Đoàn Khắc Thiện</t>
  </si>
  <si>
    <t>Đặng Trung Kiên</t>
  </si>
  <si>
    <t>Nông Hồng Lộc</t>
  </si>
  <si>
    <t>Trần Quốc Huy</t>
  </si>
  <si>
    <t>Đỗ Anh Tuấn</t>
  </si>
  <si>
    <t>Lê Trọng Bằng</t>
  </si>
  <si>
    <t>Phạm Xuân Bình</t>
  </si>
  <si>
    <t>Đỗ Trung Kiên</t>
  </si>
  <si>
    <t>Đỗ Anh Dũng</t>
  </si>
  <si>
    <t>Lê Thị Thúy Hằng</t>
  </si>
  <si>
    <t>Nguyễn Ngọc Quỳnh</t>
  </si>
  <si>
    <t>Phạm Hồng Quân</t>
  </si>
  <si>
    <t>Alice Nguyễn</t>
  </si>
  <si>
    <t>Võ Duy Tấn Huy</t>
  </si>
  <si>
    <t>Đặng Thu Huyền</t>
  </si>
  <si>
    <t>Nguyễn Thu Trang</t>
  </si>
  <si>
    <t>Võ Thị Phương Thảo</t>
  </si>
  <si>
    <t>Đặng Hồng Vân</t>
  </si>
  <si>
    <t>Hoàng Thanh Trang</t>
  </si>
  <si>
    <t>Nguyễn Anh Ngọc</t>
  </si>
  <si>
    <t>Trần Thu Hiền</t>
  </si>
  <si>
    <t>Nguyễn Thị Minh</t>
  </si>
  <si>
    <t>Lê Thị Thu Hường</t>
  </si>
  <si>
    <t>Lê Thị Hoàng Yến</t>
  </si>
  <si>
    <t>Lê Đình Phương</t>
  </si>
  <si>
    <t>Uông Ngọc Ân</t>
  </si>
  <si>
    <t>Vũ Văn Hiểu</t>
  </si>
  <si>
    <t>Nguyễn Văn Đức</t>
  </si>
  <si>
    <t>Trần Minh Tuấn</t>
  </si>
  <si>
    <t>Trần Trung Anh</t>
  </si>
  <si>
    <t>Nguyễn Văn Thắng</t>
  </si>
  <si>
    <t>Phan Mạnh Hà</t>
  </si>
  <si>
    <t>Nguyễn Ngọc Văn</t>
  </si>
  <si>
    <t>Phạm Ngọc Quý</t>
  </si>
  <si>
    <t>Nguyễn Đức Tuấn</t>
  </si>
  <si>
    <t>Nguyễn Thành Trung</t>
  </si>
  <si>
    <t>Nguyễn Đình Đề</t>
  </si>
  <si>
    <t>Tạ Vũ Toàn</t>
  </si>
  <si>
    <t>Phạm Thanh Hải</t>
  </si>
  <si>
    <t>Trần Nam Trung</t>
  </si>
  <si>
    <t>Vũ Duy Kiên</t>
  </si>
  <si>
    <t>Lê Thanh Song</t>
  </si>
  <si>
    <t>Lê Văn Bảy</t>
  </si>
  <si>
    <t>Thái Thị Lan</t>
  </si>
  <si>
    <t>Lê Thanh Thản</t>
  </si>
  <si>
    <t>Flight</t>
  </si>
  <si>
    <t>Holes</t>
  </si>
  <si>
    <t>Goler name</t>
  </si>
  <si>
    <t>VGA</t>
  </si>
  <si>
    <t>Course HNC</t>
  </si>
  <si>
    <t>Division</t>
  </si>
  <si>
    <t>Low handicap index 
(01/1/2026 - 03/10/2026)</t>
  </si>
  <si>
    <t>Nickname trên
Vhandicap</t>
  </si>
  <si>
    <t>Lê Quang Huy</t>
  </si>
  <si>
    <t>Cao quang trung</t>
  </si>
  <si>
    <t>Trần văn toản</t>
  </si>
  <si>
    <t>Dương bá hùng</t>
  </si>
  <si>
    <t>Lương Tú Thưởng</t>
  </si>
  <si>
    <t>FLIGHT GIẢI GOLF CHÀO MỪNG ĐẠI HỘI MƯỜNG THANH 2026</t>
  </si>
  <si>
    <t>Trần Đức Điệp</t>
  </si>
  <si>
    <t>Nguyễn Trùng Khánh</t>
  </si>
  <si>
    <t xml:space="preserve">Nguyễn Minh Tiến </t>
  </si>
  <si>
    <t xml:space="preserve">Nguyễn Huy Anh </t>
  </si>
  <si>
    <t>Nguyễn Xuân Lưu</t>
  </si>
  <si>
    <t>Nguyễn Đặng Tuấn</t>
  </si>
  <si>
    <t>GIẢI GOLF CHÀO MỪNG ĐẠI HỘI MƯỜNG THANH 2026</t>
  </si>
  <si>
    <t>Nguyễn Thành Lợi</t>
  </si>
  <si>
    <t>Nguyễn Huy Thắng</t>
  </si>
  <si>
    <t>Trần Quang Khánh</t>
  </si>
  <si>
    <t>Nguyễn Hồng Sơn</t>
  </si>
  <si>
    <t>Võ Trường Giang</t>
  </si>
  <si>
    <t>Lê Hữu Xuân</t>
  </si>
  <si>
    <t>Phạm Thành Trung</t>
  </si>
  <si>
    <t>Phạm Chí Thống</t>
  </si>
  <si>
    <t>Trương Xuân Hiếu</t>
  </si>
  <si>
    <t>Mai Khanh</t>
  </si>
  <si>
    <t>Ho Trong Hung</t>
  </si>
  <si>
    <t>Le Thanh Song</t>
  </si>
  <si>
    <t>Phan Thanh Hai</t>
  </si>
  <si>
    <t>Huy Vo</t>
  </si>
  <si>
    <t>Toàn OVER</t>
  </si>
  <si>
    <t>Dechampau</t>
  </si>
  <si>
    <t>NĐ T 7835</t>
  </si>
  <si>
    <t>Phạm Ngọc Qúy</t>
  </si>
  <si>
    <t>Văn - Adam</t>
  </si>
  <si>
    <t>MrBean</t>
  </si>
  <si>
    <t>Mr Tuấn</t>
  </si>
  <si>
    <t>Vũ Xuân Hiểu</t>
  </si>
  <si>
    <t>LÊ Đình Phương</t>
  </si>
  <si>
    <t>Bum Bum</t>
  </si>
  <si>
    <t>Minh Nguyen</t>
  </si>
  <si>
    <t>Leya92</t>
  </si>
  <si>
    <t>Nguyen Anh Ngoc</t>
  </si>
  <si>
    <t>Hoang Thanh Trang</t>
  </si>
  <si>
    <t>An Thùy</t>
  </si>
  <si>
    <t>Thái Lan</t>
  </si>
  <si>
    <t>Thao Vo</t>
  </si>
  <si>
    <t>Đặng Thị Thu Huyền</t>
  </si>
  <si>
    <t>Tập Đánh Golf</t>
  </si>
  <si>
    <t>Lộc Bình</t>
  </si>
  <si>
    <t>Ball Hunter</t>
  </si>
  <si>
    <t>Metal</t>
  </si>
  <si>
    <t>NT Thành</t>
  </si>
  <si>
    <t>Răng văn Răng</t>
  </si>
  <si>
    <t>Nam Khôi</t>
  </si>
  <si>
    <t>Beng Beng</t>
  </si>
  <si>
    <t>TracTran</t>
  </si>
  <si>
    <t>Tám già</t>
  </si>
  <si>
    <t>Le Thanh</t>
  </si>
  <si>
    <t>Hoang Hung</t>
  </si>
  <si>
    <t>Hòa</t>
  </si>
  <si>
    <t>Nguyen Nam</t>
  </si>
  <si>
    <t>Trần Quyết</t>
  </si>
  <si>
    <t>Thanh Trúc</t>
  </si>
  <si>
    <t>Le Duong</t>
  </si>
  <si>
    <t>Anh Vũ</t>
  </si>
  <si>
    <t>Đức Thịnh</t>
  </si>
  <si>
    <t>Đông Bùi</t>
  </si>
  <si>
    <t>Nguyễn Hoàng Phong</t>
  </si>
  <si>
    <t>Cao Trung Na</t>
  </si>
  <si>
    <t>Trần Văn Toản</t>
  </si>
  <si>
    <t>Mr. Trọng</t>
  </si>
  <si>
    <t>BINH NGUYEN Lefty</t>
  </si>
  <si>
    <t>Trường Phạm</t>
  </si>
  <si>
    <t>Pham Van Hai</t>
  </si>
  <si>
    <t>Hoàng Minh Triết - Octopus</t>
  </si>
  <si>
    <t>Huynh Thien</t>
  </si>
  <si>
    <t>R Jayy</t>
  </si>
  <si>
    <t>Pham Hong Quan</t>
  </si>
  <si>
    <t>Anhph</t>
  </si>
  <si>
    <t>Anh Linh</t>
  </si>
  <si>
    <t>Khánh Trần</t>
  </si>
  <si>
    <t>Kenvin Nguyễn</t>
  </si>
  <si>
    <t>Thế Anh</t>
  </si>
  <si>
    <t>Cường Euwindows</t>
  </si>
  <si>
    <t>Trung Dũng</t>
  </si>
  <si>
    <t>Truong Hoang</t>
  </si>
  <si>
    <t>Hoang Đạt</t>
  </si>
  <si>
    <t>Trần Quang Hòa</t>
  </si>
  <si>
    <t>.</t>
  </si>
  <si>
    <t>Bao Chau</t>
  </si>
  <si>
    <t>Duy golf</t>
  </si>
  <si>
    <t>Tâm Xiều</t>
  </si>
  <si>
    <t>Hoàng Dzai</t>
  </si>
  <si>
    <t>Hồ Minh Tuấn</t>
  </si>
  <si>
    <t>Cậu Ấm</t>
  </si>
  <si>
    <t>Dương Hồng Khang</t>
  </si>
  <si>
    <t>Dương Khang</t>
  </si>
  <si>
    <t>Thái Văn Dũng</t>
  </si>
  <si>
    <t>Lê Thanh Mai</t>
  </si>
  <si>
    <t>Vũ Minh Huy</t>
  </si>
  <si>
    <t>1A</t>
  </si>
  <si>
    <t>10A</t>
  </si>
  <si>
    <t>1B</t>
  </si>
  <si>
    <t>10B</t>
  </si>
  <si>
    <t>Nguyễn Văn Hải</t>
  </si>
  <si>
    <t>Thủy Toàn</t>
  </si>
  <si>
    <t>Tít Mít</t>
  </si>
  <si>
    <t>Hương Thơm</t>
  </si>
  <si>
    <t>Lê Lưu</t>
  </si>
  <si>
    <t>Đức Sang</t>
  </si>
  <si>
    <t>Thảo Trang</t>
  </si>
  <si>
    <t>Nguyễn Phúc</t>
  </si>
  <si>
    <t>Shortgun : 6h00 ngày 25/10/2026 - Sân golf Tràng An, Ninh Bình</t>
  </si>
  <si>
    <t>Nguyễn Việt Cường</t>
  </si>
  <si>
    <t>Ngô Mạnh Quân</t>
  </si>
  <si>
    <t>Phạm Cao Thái</t>
  </si>
  <si>
    <t>Trần Hoàng</t>
  </si>
  <si>
    <t>Đinh sỹ khánh vinh</t>
  </si>
  <si>
    <t>Võ Hồng Hải</t>
  </si>
  <si>
    <t xml:space="preserve">Vũ Xuân Quang </t>
  </si>
  <si>
    <t>Lê Minh Dương</t>
  </si>
  <si>
    <t>GHI CHÚ</t>
  </si>
  <si>
    <t>Chú Song</t>
  </si>
  <si>
    <t>C Yến</t>
  </si>
  <si>
    <t>A Kiên</t>
  </si>
  <si>
    <t>NBI</t>
  </si>
  <si>
    <t>Cục DL</t>
  </si>
  <si>
    <t>SLA</t>
  </si>
  <si>
    <t>Viettel DBI</t>
  </si>
  <si>
    <t>Nhà thầu Bê tông Thịnh Hưng NBI</t>
  </si>
  <si>
    <t>c Minh xếp</t>
  </si>
  <si>
    <t>A Bằng xếp</t>
  </si>
  <si>
    <t>NA</t>
  </si>
  <si>
    <t>Viện KS</t>
  </si>
  <si>
    <t>Huy rứa</t>
  </si>
  <si>
    <t>A Bình- cty Lâm Anh</t>
  </si>
  <si>
    <t>Hanvico</t>
  </si>
  <si>
    <t>cty máy phát điện</t>
  </si>
  <si>
    <t>Cty PCCC Blue Ocean</t>
  </si>
  <si>
    <t>Cty Hoàng Đạt</t>
  </si>
  <si>
    <t>BIDV nam HN</t>
  </si>
  <si>
    <t>cty Thái Sơn</t>
  </si>
  <si>
    <t>BIDV Ngọc Khánh</t>
  </si>
  <si>
    <t>Trần Tất Thắng</t>
  </si>
  <si>
    <t>Phạm Lịch Sự</t>
  </si>
  <si>
    <t>Đào Ngọc Tâm</t>
  </si>
  <si>
    <t>3A</t>
  </si>
  <si>
    <t>3B</t>
  </si>
  <si>
    <t>12A</t>
  </si>
  <si>
    <t>4B</t>
  </si>
  <si>
    <t>18B</t>
  </si>
  <si>
    <t>18A</t>
  </si>
  <si>
    <t>17B</t>
  </si>
  <si>
    <t>17A</t>
  </si>
  <si>
    <t>16A</t>
  </si>
  <si>
    <t>16B</t>
  </si>
  <si>
    <t>15A</t>
  </si>
  <si>
    <t>14B</t>
  </si>
  <si>
    <t>14A</t>
  </si>
  <si>
    <t>15B</t>
  </si>
  <si>
    <t>5B</t>
  </si>
  <si>
    <t>7B</t>
  </si>
  <si>
    <t>5A</t>
  </si>
  <si>
    <t>7A</t>
  </si>
  <si>
    <t>6A</t>
  </si>
  <si>
    <t>6B</t>
  </si>
  <si>
    <t>8A</t>
  </si>
  <si>
    <t>8B</t>
  </si>
  <si>
    <t>4A</t>
  </si>
  <si>
    <t>11A</t>
  </si>
  <si>
    <t>12B</t>
  </si>
  <si>
    <t>13A</t>
  </si>
  <si>
    <t>Hoàng Phong</t>
  </si>
  <si>
    <t>Hoàng Khắc Tiệp</t>
  </si>
  <si>
    <t>Phó Trưởng ban Thường trực Ban Nội chính Tỉnh ủy Ninh Bình</t>
  </si>
  <si>
    <t>Ủy viên Ban Thường vụ Tỉnh ủy, Phó Chủ tịch UBND tỉnh</t>
  </si>
  <si>
    <t>Phó Bí Thư Đảng ủy Ủy ban nhân dân tỉnh</t>
  </si>
  <si>
    <t>Tỉnh ủy viên, Chánh Văn phòng UBND tỉnh</t>
  </si>
  <si>
    <t>Phó Chánh Văn phòng UBND tỉnh</t>
  </si>
  <si>
    <t>TUV, Phó Chánh Văn phòng Tỉnh ủy</t>
  </si>
  <si>
    <t>Phó Chánh VP Tỉnh ủy</t>
  </si>
  <si>
    <t>Thư ký CT VP UB</t>
  </si>
  <si>
    <t>Phó Giám đốc Sở Tài chính</t>
  </si>
  <si>
    <t>Giám đốc Sở Du Lịch</t>
  </si>
  <si>
    <t>Phó Giám đốc Sở Văn hóa Thể thao</t>
  </si>
  <si>
    <t>Giám đốc Sở Xây dựng</t>
  </si>
  <si>
    <t>Phó Giám đốc Sở Xây dựng</t>
  </si>
  <si>
    <t>Phó Giám đốc Sở Nông nghiệp và Môi trường</t>
  </si>
  <si>
    <t>Phó Giám đốc Sở Ngoại vụ</t>
  </si>
  <si>
    <t>Phó Bí thư Tỉnh ủy, Chủ tịch UBND tỉnh</t>
  </si>
  <si>
    <t>Ủy viên Ban Thường vụ Tỉnh ủy, Phó Chủ tịch Thường trực UBND tỉnh</t>
  </si>
  <si>
    <t>Ủy viên BTV Tỉnh ủy, Trưởng Ban Tổ chức Tỉnh ủy</t>
  </si>
  <si>
    <t>Bí thư Đảng ủy xã Nho Quan</t>
  </si>
  <si>
    <t>Chức vụ</t>
  </si>
  <si>
    <t>Ông</t>
  </si>
  <si>
    <t>STT</t>
  </si>
  <si>
    <t>Bà</t>
  </si>
  <si>
    <t>Nguyễn Thị Thùy An</t>
  </si>
  <si>
    <t>Cục Trưởng Cục DL QG</t>
  </si>
  <si>
    <t>Hiệu trưởng ĐH TDTT Bắc Ninh</t>
  </si>
  <si>
    <t>VT Vụ Pháp Chế, Cục DL</t>
  </si>
  <si>
    <t>Cục trưởng Cục CNVH</t>
  </si>
  <si>
    <t>Giám đốc Viettel Điện Biên</t>
  </si>
  <si>
    <t>Bí thư xã Vân Hồ Tỉnh Sơn La</t>
  </si>
  <si>
    <t>Phó chủ tịch UBND Tỉnh Sơn La</t>
  </si>
  <si>
    <t>Cty Thái Sơn</t>
  </si>
  <si>
    <t>Nguyễn Thj Thùy An</t>
  </si>
  <si>
    <t>Cao Quang Trung</t>
  </si>
  <si>
    <t>Đinh Sỹ Khánh Vinh</t>
  </si>
  <si>
    <t>Dương Bá Hùng</t>
  </si>
  <si>
    <t>Ngô Sỹ Lâm</t>
  </si>
  <si>
    <t>Vũ Xuân Quang</t>
  </si>
  <si>
    <t>Trần Huy Tuấn</t>
  </si>
  <si>
    <t>Nguyễn Văn Trường</t>
  </si>
  <si>
    <t>Nguyễn Minh Tiến</t>
  </si>
  <si>
    <t>Nguyễn Huy Anh</t>
  </si>
  <si>
    <t>Giám đốc</t>
  </si>
  <si>
    <t>Phó phòng CSGT Nghệ An</t>
  </si>
  <si>
    <t>Giám đốc BV 115</t>
  </si>
  <si>
    <t>Giám đốc điện chiếu sáng Hiền Hòa</t>
  </si>
  <si>
    <t>Giám đốc đốc cty Nam Phương Phát</t>
  </si>
  <si>
    <t>Giám đốc Cty Open VN</t>
  </si>
  <si>
    <t>Giám đốc cty thiết kế</t>
  </si>
  <si>
    <t>Giám đốc cty Bình Minh</t>
  </si>
  <si>
    <t>Vụ trưởng, Tky CT UBMTTQVN</t>
  </si>
  <si>
    <t>Bí thư xã Hợp Minh</t>
  </si>
  <si>
    <t>Chánh thanh tra Nghệ An</t>
  </si>
  <si>
    <t>Doanh nghiệp</t>
  </si>
  <si>
    <t>Nguyên CT huyện DCH</t>
  </si>
  <si>
    <t>Chủ tịch xã Diễn An</t>
  </si>
  <si>
    <t>PGĐ Sở XD tỉnh Nghệ An</t>
  </si>
  <si>
    <t>Giám đốc công ty Minh Quang</t>
  </si>
  <si>
    <t>Giám đốc trung tâm</t>
  </si>
  <si>
    <t>Trưởng phòng giá</t>
  </si>
  <si>
    <t>Sở nông nghiệp mội trường</t>
  </si>
  <si>
    <t>Trưởng công an</t>
  </si>
  <si>
    <t>Giám đốc BV mắt NA</t>
  </si>
  <si>
    <t>Phó giám đốc</t>
  </si>
  <si>
    <t>Phó bộ phận Điều hành sân</t>
  </si>
  <si>
    <t>Trưởng bộ phận Caddie</t>
  </si>
  <si>
    <t>Phó bộ phận Kinh doanh - Lễ tân</t>
  </si>
  <si>
    <t>Phó bộ phận An ninh - Kỹ thuật</t>
  </si>
  <si>
    <t>Nhân viên Caddie</t>
  </si>
  <si>
    <t>TBP Caddie</t>
  </si>
  <si>
    <t>Ca trưởng Caddie</t>
  </si>
  <si>
    <t>Giám sát Điều hành Golf</t>
  </si>
  <si>
    <t>Nhân viên Điều hành Golf</t>
  </si>
  <si>
    <t>Giám sát Looker</t>
  </si>
  <si>
    <t>Trung Tướng. Nguyên Giám đốc CA thành phố HN</t>
  </si>
  <si>
    <t>Phó giám đốc chi nhánh</t>
  </si>
  <si>
    <t>Giám đốc chi nhánh</t>
  </si>
  <si>
    <t>Chánh văn phòng</t>
  </si>
  <si>
    <t>Ủy viên Ban Chấp hành Trung ương Đảng, Bí thư Tỉnh ủy</t>
  </si>
  <si>
    <t>Ủy viên BTV Tỉnh ủy, 
Trưởng Ban Tổ chức Tỉnh ủy</t>
  </si>
  <si>
    <t>Ủy viên Ban Thường vụ Tỉnh ủy,
Phó Chủ tịch Thường trực UBND tỉnh</t>
  </si>
  <si>
    <t>Ủy viên Ban Thường vụ Tỉnh ủy, 
Phó Chủ tịch UBND tỉnh</t>
  </si>
  <si>
    <t>Cục trưởng Cục DL</t>
  </si>
  <si>
    <t>VT Vụ Pháp Chế Cục DL</t>
  </si>
  <si>
    <t>Doanh nghiệp Tư nhân Xây dựng Xuân Trường</t>
  </si>
  <si>
    <t>Chủ tịch Tập đoàn Mường Thanh</t>
  </si>
  <si>
    <t>Tổng Giám Đốc Tập đoàn Mường Thanh</t>
  </si>
  <si>
    <t>Chủ tịch Hội Golf Nghệ An</t>
  </si>
  <si>
    <t>Phó tổng giám đốc Cienco5</t>
  </si>
  <si>
    <t>Tổng Giám Đốc Cienco5</t>
  </si>
  <si>
    <t>Kiểm sát viên cao cấp, Vụ Công tố và Kiểm sát điều tra án kinh tế, tham nhũng- Viện Kiểm sát nhân dân tối cao</t>
  </si>
  <si>
    <t>9B</t>
  </si>
  <si>
    <t>9A</t>
  </si>
  <si>
    <t>2A</t>
  </si>
  <si>
    <t>Nguyễn Duy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</si>
</sst>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b/>
      <sz val="24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CC0000"/>
      <name val="Arial"/>
      <family val="2"/>
    </font>
    <font>
      <sz val="11"/>
      <color rgb="FF000000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4"/>
      <color rgb="FF000000"/>
      <name val="Times New Roman"/>
      <family val="1"/>
    </font>
    <font>
      <sz val="10"/>
      <color theme="1"/>
      <name val="Arial Narrow"/>
      <family val="2"/>
    </font>
    <font>
      <sz val="11"/>
      <color theme="9"/>
      <name val="Times New Roman"/>
      <family val="1"/>
    </font>
    <font>
      <sz val="11"/>
      <name val="Arial"/>
      <family val="2"/>
    </font>
    <font>
      <sz val="10"/>
      <name val="Arial Narrow"/>
      <family val="2"/>
    </font>
    <font>
      <b/>
      <sz val="14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B7E1CD"/>
        <bgColor rgb="FFB7E1CD"/>
      </patternFill>
    </fill>
    <fill>
      <patternFill patternType="solid">
        <fgColor rgb="FFCC0000"/>
        <bgColor rgb="FFCC0000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6F8F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6F8F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3">
    <xf numFmtId="0" fontId="0" fillId="0" borderId="0"/>
    <xf numFmtId="0" fontId="2" fillId="0" borderId="0" applyNumberFormat="0" applyBorder="0" applyProtection="0"/>
    <xf numFmtId="0" fontId="3" fillId="3" borderId="0" applyNumberFormat="0" applyBorder="0" applyProtection="0"/>
    <xf numFmtId="0" fontId="3" fillId="4" borderId="0" applyNumberFormat="0" applyBorder="0" applyProtection="0"/>
    <xf numFmtId="0" fontId="2" fillId="5" borderId="0" applyNumberFormat="0" applyBorder="0" applyProtection="0"/>
    <xf numFmtId="0" fontId="1" fillId="6" borderId="0" applyNumberFormat="0" applyFont="0" applyBorder="0" applyProtection="0"/>
    <xf numFmtId="0" fontId="4" fillId="7" borderId="0" applyNumberFormat="0" applyBorder="0" applyProtection="0"/>
    <xf numFmtId="0" fontId="5" fillId="0" borderId="0" applyNumberFormat="0" applyBorder="0" applyProtection="0"/>
    <xf numFmtId="0" fontId="6" fillId="0" borderId="0" applyNumberFormat="0" applyBorder="0" applyProtection="0"/>
    <xf numFmtId="0" fontId="7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8" fillId="0" borderId="0" applyNumberFormat="0" applyBorder="0" applyProtection="0"/>
  </cellStyleXfs>
  <cellXfs count="114">
    <xf numFmtId="0" fontId="0" fillId="0" borderId="0" xfId="0"/>
    <xf numFmtId="0" fontId="9" fillId="0" borderId="0" xfId="0" applyFont="1"/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9" fillId="8" borderId="1" xfId="0" applyFont="1" applyFill="1" applyBorder="1"/>
    <xf numFmtId="0" fontId="9" fillId="0" borderId="0" xfId="0" applyFont="1" applyAlignment="1">
      <alignment vertical="center"/>
    </xf>
    <xf numFmtId="0" fontId="9" fillId="8" borderId="1" xfId="0" applyFont="1" applyFill="1" applyBorder="1" applyAlignment="1">
      <alignment vertical="center"/>
    </xf>
    <xf numFmtId="0" fontId="9" fillId="9" borderId="1" xfId="0" applyFont="1" applyFill="1" applyBorder="1"/>
    <xf numFmtId="0" fontId="9" fillId="8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left" vertical="center"/>
    </xf>
    <xf numFmtId="0" fontId="15" fillId="2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6" fillId="8" borderId="1" xfId="0" applyFont="1" applyFill="1" applyBorder="1"/>
    <xf numFmtId="0" fontId="9" fillId="9" borderId="0" xfId="0" applyFont="1" applyFill="1"/>
    <xf numFmtId="0" fontId="9" fillId="9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/>
    </xf>
    <xf numFmtId="0" fontId="16" fillId="8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1" xfId="0" applyBorder="1"/>
    <xf numFmtId="0" fontId="13" fillId="8" borderId="1" xfId="0" applyFont="1" applyFill="1" applyBorder="1" applyAlignment="1">
      <alignment horizontal="left" vertical="center"/>
    </xf>
    <xf numFmtId="0" fontId="0" fillId="8" borderId="1" xfId="0" applyFill="1" applyBorder="1"/>
    <xf numFmtId="0" fontId="9" fillId="8" borderId="4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16" fillId="8" borderId="1" xfId="0" applyFont="1" applyFill="1" applyBorder="1" applyAlignment="1">
      <alignment vertical="center"/>
    </xf>
    <xf numFmtId="0" fontId="9" fillId="8" borderId="1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9" fillId="0" borderId="0" xfId="0" applyFont="1" applyBorder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2" fillId="8" borderId="1" xfId="0" applyFont="1" applyFill="1" applyBorder="1"/>
    <xf numFmtId="0" fontId="12" fillId="8" borderId="1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/>
    </xf>
    <xf numFmtId="0" fontId="12" fillId="9" borderId="1" xfId="0" applyFont="1" applyFill="1" applyBorder="1"/>
    <xf numFmtId="0" fontId="12" fillId="11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7" fillId="9" borderId="1" xfId="0" applyFont="1" applyFill="1" applyBorder="1"/>
    <xf numFmtId="0" fontId="12" fillId="12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16" fillId="9" borderId="1" xfId="0" applyFont="1" applyFill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2" fillId="0" borderId="0" xfId="0" applyFont="1"/>
    <xf numFmtId="0" fontId="19" fillId="0" borderId="0" xfId="0" applyFont="1" applyBorder="1" applyAlignment="1">
      <alignment horizontal="center"/>
    </xf>
    <xf numFmtId="0" fontId="0" fillId="0" borderId="0" xfId="0" applyAlignment="1">
      <alignment wrapText="1"/>
    </xf>
    <xf numFmtId="0" fontId="14" fillId="0" borderId="0" xfId="0" applyFont="1" applyBorder="1" applyAlignment="1">
      <alignment horizontal="center" wrapText="1"/>
    </xf>
    <xf numFmtId="0" fontId="12" fillId="9" borderId="1" xfId="0" applyFont="1" applyFill="1" applyBorder="1" applyAlignment="1">
      <alignment horizont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0" fillId="13" borderId="1" xfId="0" applyFont="1" applyFill="1" applyBorder="1"/>
    <xf numFmtId="0" fontId="12" fillId="13" borderId="1" xfId="0" applyFont="1" applyFill="1" applyBorder="1"/>
    <xf numFmtId="0" fontId="12" fillId="13" borderId="1" xfId="0" applyFont="1" applyFill="1" applyBorder="1" applyAlignment="1">
      <alignment horizontal="left" vertical="center"/>
    </xf>
    <xf numFmtId="0" fontId="12" fillId="14" borderId="1" xfId="0" applyFont="1" applyFill="1" applyBorder="1" applyAlignment="1">
      <alignment vertical="center"/>
    </xf>
    <xf numFmtId="0" fontId="10" fillId="13" borderId="1" xfId="0" applyFont="1" applyFill="1" applyBorder="1" applyAlignment="1">
      <alignment horizontal="left" vertical="center"/>
    </xf>
    <xf numFmtId="0" fontId="12" fillId="15" borderId="1" xfId="0" applyFont="1" applyFill="1" applyBorder="1" applyAlignment="1">
      <alignment vertical="center"/>
    </xf>
    <xf numFmtId="0" fontId="13" fillId="13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left" vertical="center"/>
    </xf>
    <xf numFmtId="0" fontId="9" fillId="13" borderId="1" xfId="0" applyFont="1" applyFill="1" applyBorder="1"/>
    <xf numFmtId="0" fontId="9" fillId="9" borderId="1" xfId="0" applyFont="1" applyFill="1" applyBorder="1" applyAlignment="1">
      <alignment vertical="center"/>
    </xf>
    <xf numFmtId="0" fontId="12" fillId="11" borderId="1" xfId="0" applyFont="1" applyFill="1" applyBorder="1" applyAlignment="1">
      <alignment vertical="center"/>
    </xf>
    <xf numFmtId="0" fontId="12" fillId="12" borderId="1" xfId="0" applyFont="1" applyFill="1" applyBorder="1" applyAlignment="1">
      <alignment vertical="center"/>
    </xf>
    <xf numFmtId="0" fontId="9" fillId="9" borderId="2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9" borderId="1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9" fillId="8" borderId="2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4" fillId="0" borderId="5" xfId="0" applyFont="1" applyBorder="1" applyAlignment="1">
      <alignment horizontal="center"/>
    </xf>
  </cellXfs>
  <cellStyles count="13">
    <cellStyle name="Accent" xfId="1"/>
    <cellStyle name="Accent 1" xfId="2"/>
    <cellStyle name="Accent 2" xfId="3"/>
    <cellStyle name="Accent 3" xfId="4"/>
    <cellStyle name="ConditionalStyle_8" xfId="5"/>
    <cellStyle name="Error" xfId="6"/>
    <cellStyle name="Footnote" xfId="7"/>
    <cellStyle name="Heading" xfId="8"/>
    <cellStyle name="Hyperlink" xfId="9"/>
    <cellStyle name="Normal" xfId="0" builtinId="0"/>
    <cellStyle name="Status" xfId="10"/>
    <cellStyle name="Text" xfId="11"/>
    <cellStyle name="Warning" xfId="12"/>
  </cellStyles>
  <dxfs count="2">
    <dxf>
      <font>
        <strike/>
      </font>
      <fill>
        <patternFill patternType="none"/>
      </fill>
    </dxf>
    <dxf>
      <font>
        <strike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91"/>
  <sheetViews>
    <sheetView tabSelected="1" zoomScale="90" zoomScaleNormal="9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H175" sqref="H175"/>
    </sheetView>
  </sheetViews>
  <sheetFormatPr defaultColWidth="9" defaultRowHeight="13.8" x14ac:dyDescent="0.25"/>
  <cols>
    <col min="1" max="1" width="9" style="1"/>
    <col min="2" max="2" width="4.796875" style="6" bestFit="1" customWidth="1"/>
    <col min="3" max="3" width="5.09765625" style="6" bestFit="1" customWidth="1"/>
    <col min="4" max="4" width="5.09765625" style="6" customWidth="1"/>
    <col min="5" max="5" width="18.69921875" style="67" bestFit="1" customWidth="1"/>
    <col min="6" max="6" width="6.796875" style="19" bestFit="1" customWidth="1"/>
    <col min="7" max="7" width="36.59765625" style="74" customWidth="1"/>
    <col min="8" max="8" width="20.19921875" style="19" bestFit="1" customWidth="1"/>
    <col min="9" max="9" width="10.69921875" style="19" bestFit="1" customWidth="1"/>
    <col min="10" max="10" width="7.09765625" style="1" bestFit="1" customWidth="1"/>
    <col min="11" max="11" width="22.09765625" style="19" bestFit="1" customWidth="1"/>
    <col min="12" max="12" width="26.69921875" style="19" bestFit="1" customWidth="1"/>
    <col min="13" max="13" width="16.69921875" style="1" bestFit="1" customWidth="1"/>
    <col min="14" max="14" width="16.59765625" style="1" bestFit="1" customWidth="1"/>
    <col min="15" max="15" width="18.09765625" style="1" bestFit="1" customWidth="1"/>
    <col min="16" max="16384" width="9" style="1"/>
  </cols>
  <sheetData>
    <row r="2" spans="1:12" ht="17.399999999999999" x14ac:dyDescent="0.3">
      <c r="B2" s="106" t="s">
        <v>144</v>
      </c>
      <c r="C2" s="106"/>
      <c r="D2" s="106"/>
      <c r="E2" s="106"/>
      <c r="F2" s="106"/>
      <c r="G2" s="106"/>
      <c r="H2" s="106"/>
      <c r="I2" s="106"/>
      <c r="J2" s="106"/>
      <c r="K2" s="106"/>
      <c r="L2" s="65"/>
    </row>
    <row r="3" spans="1:12" s="41" customFormat="1" ht="17.399999999999999" x14ac:dyDescent="0.3">
      <c r="B3" s="66"/>
      <c r="C3" s="66"/>
      <c r="D3" s="66"/>
      <c r="E3" s="68"/>
      <c r="F3" s="66"/>
      <c r="G3" s="70"/>
      <c r="H3" s="66"/>
      <c r="I3" s="66"/>
      <c r="J3" s="66"/>
      <c r="K3" s="66"/>
      <c r="L3" s="66"/>
    </row>
    <row r="4" spans="1:12" ht="15" customHeight="1" x14ac:dyDescent="0.25">
      <c r="A4" s="100" t="s">
        <v>332</v>
      </c>
      <c r="B4" s="100" t="s">
        <v>131</v>
      </c>
      <c r="C4" s="100" t="s">
        <v>132</v>
      </c>
      <c r="D4" s="98"/>
      <c r="E4" s="103" t="s">
        <v>133</v>
      </c>
      <c r="F4" s="103" t="s">
        <v>134</v>
      </c>
      <c r="G4" s="96" t="s">
        <v>330</v>
      </c>
      <c r="H4" s="102" t="s">
        <v>137</v>
      </c>
      <c r="I4" s="100" t="s">
        <v>135</v>
      </c>
      <c r="J4" s="100" t="s">
        <v>136</v>
      </c>
      <c r="K4" s="102" t="s">
        <v>138</v>
      </c>
      <c r="L4" s="107" t="s">
        <v>258</v>
      </c>
    </row>
    <row r="5" spans="1:12" x14ac:dyDescent="0.25">
      <c r="A5" s="100"/>
      <c r="B5" s="100"/>
      <c r="C5" s="100"/>
      <c r="D5" s="99"/>
      <c r="E5" s="103"/>
      <c r="F5" s="103"/>
      <c r="G5" s="97"/>
      <c r="H5" s="102"/>
      <c r="I5" s="100"/>
      <c r="J5" s="100"/>
      <c r="K5" s="102"/>
      <c r="L5" s="108"/>
    </row>
    <row r="6" spans="1:12" x14ac:dyDescent="0.25">
      <c r="A6" s="62">
        <f>IF(E6="","",COUNTA($E$6:E6))</f>
        <v>1</v>
      </c>
      <c r="B6" s="101">
        <v>1</v>
      </c>
      <c r="C6" s="101" t="s">
        <v>237</v>
      </c>
      <c r="D6" s="60" t="s">
        <v>331</v>
      </c>
      <c r="E6" s="78" t="s">
        <v>130</v>
      </c>
      <c r="F6" s="51"/>
      <c r="G6" s="71" t="str">
        <f>IFERROR(VLOOKUP(E6, 'DS- Title'!$A:$B, 2, 0), "")</f>
        <v>Chủ tịch Tập đoàn Mường Thanh</v>
      </c>
      <c r="H6" s="3"/>
      <c r="I6" s="3"/>
      <c r="J6" s="2"/>
      <c r="K6" s="3"/>
      <c r="L6" s="3"/>
    </row>
    <row r="7" spans="1:12" x14ac:dyDescent="0.25">
      <c r="A7" s="62">
        <f>IF(E7="","",COUNTA($E$6:E7))</f>
        <v>2</v>
      </c>
      <c r="B7" s="101"/>
      <c r="C7" s="101"/>
      <c r="D7" s="60" t="s">
        <v>331</v>
      </c>
      <c r="E7" s="79" t="s">
        <v>46</v>
      </c>
      <c r="F7" s="51">
        <v>36203</v>
      </c>
      <c r="G7" s="71" t="str">
        <f>IFERROR(VLOOKUP(E7, 'DS- Title'!$A:$B, 2, 0), "")</f>
        <v>Giám đốc</v>
      </c>
      <c r="H7" s="3">
        <v>21</v>
      </c>
      <c r="I7" s="3">
        <v>25</v>
      </c>
      <c r="J7" s="2"/>
      <c r="K7" s="3" t="s">
        <v>46</v>
      </c>
      <c r="L7" s="3"/>
    </row>
    <row r="8" spans="1:12" x14ac:dyDescent="0.25">
      <c r="A8" s="62">
        <f>IF(E8="","",COUNTA($E$6:E8))</f>
        <v>3</v>
      </c>
      <c r="B8" s="101"/>
      <c r="C8" s="101"/>
      <c r="D8" s="60" t="s">
        <v>331</v>
      </c>
      <c r="E8" s="79" t="s">
        <v>47</v>
      </c>
      <c r="F8" s="51">
        <v>16461</v>
      </c>
      <c r="G8" s="71" t="str">
        <f>IFERROR(VLOOKUP(E8, 'DS- Title'!$A:$B, 2, 0), "")</f>
        <v>Giám đốc</v>
      </c>
      <c r="H8" s="3">
        <v>14.3</v>
      </c>
      <c r="I8" s="3">
        <v>17</v>
      </c>
      <c r="J8" s="2"/>
      <c r="K8" s="3" t="s">
        <v>47</v>
      </c>
      <c r="L8" s="3"/>
    </row>
    <row r="9" spans="1:12" x14ac:dyDescent="0.25">
      <c r="A9" s="62">
        <f>IF(E9="","",COUNTA($E$6:E9))</f>
        <v>4</v>
      </c>
      <c r="B9" s="101"/>
      <c r="C9" s="101"/>
      <c r="D9" s="60" t="s">
        <v>331</v>
      </c>
      <c r="E9" s="79" t="s">
        <v>49</v>
      </c>
      <c r="F9" s="51">
        <v>65974</v>
      </c>
      <c r="G9" s="71" t="str">
        <f>IFERROR(VLOOKUP(E9, 'DS- Title'!$A:$B, 2, 0), "")</f>
        <v>Giám đốc</v>
      </c>
      <c r="H9" s="3">
        <v>23.7</v>
      </c>
      <c r="I9" s="3">
        <v>29</v>
      </c>
      <c r="J9" s="2"/>
      <c r="K9" s="3" t="s">
        <v>49</v>
      </c>
      <c r="L9" s="3"/>
    </row>
    <row r="10" spans="1:12" x14ac:dyDescent="0.25">
      <c r="A10" s="62">
        <f>IF(E10="","",COUNTA($E$6:E10))</f>
        <v>5</v>
      </c>
      <c r="B10" s="101"/>
      <c r="C10" s="101"/>
      <c r="D10" s="60" t="s">
        <v>331</v>
      </c>
      <c r="E10" s="79" t="s">
        <v>67</v>
      </c>
      <c r="F10" s="51">
        <v>37999</v>
      </c>
      <c r="G10" s="71">
        <f>IFERROR(VLOOKUP(E10, 'DS- Title'!$A:$B, 2, 0), "")</f>
        <v>0</v>
      </c>
      <c r="H10" s="3">
        <v>13.8</v>
      </c>
      <c r="I10" s="3">
        <v>17</v>
      </c>
      <c r="J10" s="2"/>
      <c r="K10" s="3" t="s">
        <v>162</v>
      </c>
      <c r="L10" s="3"/>
    </row>
    <row r="11" spans="1:12" x14ac:dyDescent="0.25">
      <c r="A11" s="9" t="str">
        <f>IF(E11="","",COUNTA($E$6:E11))</f>
        <v/>
      </c>
      <c r="B11" s="37"/>
      <c r="C11" s="7"/>
      <c r="D11" s="7"/>
      <c r="E11" s="47"/>
      <c r="F11" s="48"/>
      <c r="G11" s="73" t="str">
        <f>IFERROR(VLOOKUP(E11, 'DS- Title'!$A:$B, 2, 0), "")</f>
        <v/>
      </c>
      <c r="H11" s="9"/>
      <c r="I11" s="9"/>
      <c r="J11" s="5"/>
      <c r="K11" s="9"/>
      <c r="L11" s="9"/>
    </row>
    <row r="12" spans="1:12" x14ac:dyDescent="0.25">
      <c r="A12" s="62">
        <f>IF(E12="","",COUNTA($E$6:E12))</f>
        <v>6</v>
      </c>
      <c r="B12" s="101">
        <v>2</v>
      </c>
      <c r="C12" s="101" t="s">
        <v>239</v>
      </c>
      <c r="D12" s="60" t="s">
        <v>331</v>
      </c>
      <c r="E12" s="78" t="s">
        <v>127</v>
      </c>
      <c r="F12" s="51">
        <v>35001</v>
      </c>
      <c r="G12" s="71">
        <f>IFERROR(VLOOKUP(E12, 'DS- Title'!$A:$B, 2, 0), "")</f>
        <v>0</v>
      </c>
      <c r="H12" s="3">
        <v>18.7</v>
      </c>
      <c r="I12" s="3">
        <v>23</v>
      </c>
      <c r="J12" s="2"/>
      <c r="K12" s="3" t="s">
        <v>163</v>
      </c>
      <c r="L12" s="3" t="s">
        <v>259</v>
      </c>
    </row>
    <row r="13" spans="1:12" x14ac:dyDescent="0.25">
      <c r="A13" s="62">
        <f>IF(E13="","",COUNTA($E$6:E13))</f>
        <v>7</v>
      </c>
      <c r="B13" s="101"/>
      <c r="C13" s="101"/>
      <c r="D13" s="60" t="s">
        <v>331</v>
      </c>
      <c r="E13" s="80" t="s">
        <v>116</v>
      </c>
      <c r="F13" s="31">
        <v>90427</v>
      </c>
      <c r="G13" s="71">
        <f>IFERROR(VLOOKUP(E13, 'DS- Title'!$A:$B, 2, 0), "")</f>
        <v>0</v>
      </c>
      <c r="H13" s="3">
        <v>12.1</v>
      </c>
      <c r="I13" s="3">
        <v>15</v>
      </c>
      <c r="J13" s="2"/>
      <c r="K13" s="3" t="s">
        <v>116</v>
      </c>
      <c r="L13" s="3" t="s">
        <v>259</v>
      </c>
    </row>
    <row r="14" spans="1:12" x14ac:dyDescent="0.25">
      <c r="A14" s="62">
        <f>IF(E14="","",COUNTA($E$6:E14))</f>
        <v>8</v>
      </c>
      <c r="B14" s="101"/>
      <c r="C14" s="101"/>
      <c r="D14" s="60" t="s">
        <v>331</v>
      </c>
      <c r="E14" s="80" t="s">
        <v>126</v>
      </c>
      <c r="F14" s="31">
        <v>32965</v>
      </c>
      <c r="G14" s="71">
        <f>IFERROR(VLOOKUP(E14, 'DS- Title'!$A:$B, 2, 0), "")</f>
        <v>0</v>
      </c>
      <c r="H14" s="3">
        <v>17.600000000000001</v>
      </c>
      <c r="I14" s="3">
        <v>21</v>
      </c>
      <c r="J14" s="2"/>
      <c r="K14" s="3" t="s">
        <v>126</v>
      </c>
      <c r="L14" s="3" t="s">
        <v>259</v>
      </c>
    </row>
    <row r="15" spans="1:12" x14ac:dyDescent="0.25">
      <c r="A15" s="62">
        <f>IF(E15="","",COUNTA($E$6:E15))</f>
        <v>9</v>
      </c>
      <c r="B15" s="101"/>
      <c r="C15" s="101"/>
      <c r="D15" s="60" t="s">
        <v>331</v>
      </c>
      <c r="E15" s="80" t="s">
        <v>125</v>
      </c>
      <c r="F15" s="31">
        <v>50280</v>
      </c>
      <c r="G15" s="71">
        <f>IFERROR(VLOOKUP(E15, 'DS- Title'!$A:$B, 2, 0), "")</f>
        <v>0</v>
      </c>
      <c r="H15" s="3">
        <v>23.8</v>
      </c>
      <c r="I15" s="3">
        <v>29</v>
      </c>
      <c r="J15" s="2"/>
      <c r="K15" s="3" t="s">
        <v>125</v>
      </c>
      <c r="L15" s="3" t="s">
        <v>259</v>
      </c>
    </row>
    <row r="16" spans="1:12" x14ac:dyDescent="0.25">
      <c r="A16" s="62">
        <f>IF(E16="","",COUNTA($E$6:E16))</f>
        <v>10</v>
      </c>
      <c r="B16" s="101"/>
      <c r="C16" s="101"/>
      <c r="D16" s="60" t="s">
        <v>331</v>
      </c>
      <c r="E16" s="80" t="s">
        <v>124</v>
      </c>
      <c r="F16" s="31">
        <v>48393</v>
      </c>
      <c r="G16" s="71">
        <f>IFERROR(VLOOKUP(E16, 'DS- Title'!$A:$B, 2, 0), "")</f>
        <v>0</v>
      </c>
      <c r="H16" s="3">
        <v>21.8</v>
      </c>
      <c r="I16" s="3">
        <v>26</v>
      </c>
      <c r="J16" s="2"/>
      <c r="K16" s="3" t="s">
        <v>164</v>
      </c>
      <c r="L16" s="3" t="s">
        <v>259</v>
      </c>
    </row>
    <row r="17" spans="1:12" x14ac:dyDescent="0.25">
      <c r="A17" s="9" t="str">
        <f>IF(E17="","",COUNTA($E$6:E17))</f>
        <v/>
      </c>
      <c r="B17" s="7"/>
      <c r="C17" s="7"/>
      <c r="D17" s="7"/>
      <c r="E17" s="47"/>
      <c r="F17" s="18"/>
      <c r="G17" s="73" t="str">
        <f>IFERROR(VLOOKUP(E17, 'DS- Title'!$A:$B, 2, 0), "")</f>
        <v/>
      </c>
      <c r="H17" s="9"/>
      <c r="I17" s="9"/>
      <c r="J17" s="5"/>
      <c r="K17" s="9"/>
      <c r="L17" s="9"/>
    </row>
    <row r="18" spans="1:12" s="14" customFormat="1" x14ac:dyDescent="0.25">
      <c r="A18" s="62">
        <f>IF(E18="","",COUNTA($E$6:E18))</f>
        <v>11</v>
      </c>
      <c r="B18" s="93">
        <v>3</v>
      </c>
      <c r="C18" s="90" t="s">
        <v>402</v>
      </c>
      <c r="D18" s="60" t="s">
        <v>331</v>
      </c>
      <c r="E18" s="52" t="s">
        <v>281</v>
      </c>
      <c r="F18" s="64">
        <v>666999</v>
      </c>
      <c r="G18" s="71">
        <f>IFERROR(VLOOKUP(E18, 'DS- Title'!$A:$B, 2, 0), "")</f>
        <v>0</v>
      </c>
      <c r="H18" s="17"/>
      <c r="I18" s="17"/>
      <c r="J18" s="8"/>
      <c r="K18" s="17"/>
      <c r="L18" s="17"/>
    </row>
    <row r="19" spans="1:12" x14ac:dyDescent="0.25">
      <c r="A19" s="62">
        <f>IF(E19="","",COUNTA($E$6:E19))</f>
        <v>12</v>
      </c>
      <c r="B19" s="94"/>
      <c r="C19" s="91"/>
      <c r="D19" s="60" t="s">
        <v>331</v>
      </c>
      <c r="E19" s="81" t="s">
        <v>154</v>
      </c>
      <c r="F19" s="53">
        <v>53612</v>
      </c>
      <c r="G19" s="71">
        <f>IFERROR(VLOOKUP(E19, 'DS- Title'!$A:$B, 2, 0), "")</f>
        <v>0</v>
      </c>
      <c r="H19" s="3">
        <v>9.6999999999999993</v>
      </c>
      <c r="I19" s="3">
        <v>12</v>
      </c>
      <c r="J19" s="2"/>
      <c r="K19" s="3" t="s">
        <v>217</v>
      </c>
      <c r="L19" s="3" t="s">
        <v>259</v>
      </c>
    </row>
    <row r="20" spans="1:12" x14ac:dyDescent="0.25">
      <c r="A20" s="62">
        <f>IF(E20="","",COUNTA($E$6:E20))</f>
        <v>13</v>
      </c>
      <c r="B20" s="94"/>
      <c r="C20" s="91"/>
      <c r="D20" s="60" t="s">
        <v>331</v>
      </c>
      <c r="E20" s="80" t="s">
        <v>123</v>
      </c>
      <c r="F20" s="31">
        <v>54489</v>
      </c>
      <c r="G20" s="71">
        <f>IFERROR(VLOOKUP(E20, 'DS- Title'!$A:$B, 2, 0), "")</f>
        <v>0</v>
      </c>
      <c r="H20" s="3">
        <v>13</v>
      </c>
      <c r="I20" s="3">
        <v>16</v>
      </c>
      <c r="J20" s="2"/>
      <c r="K20" s="3" t="s">
        <v>166</v>
      </c>
      <c r="L20" s="3" t="s">
        <v>259</v>
      </c>
    </row>
    <row r="21" spans="1:12" x14ac:dyDescent="0.25">
      <c r="A21" s="62">
        <f>IF(E21="","",COUNTA($E$6:E21))</f>
        <v>14</v>
      </c>
      <c r="B21" s="94"/>
      <c r="C21" s="91"/>
      <c r="D21" s="60" t="s">
        <v>331</v>
      </c>
      <c r="E21" s="80" t="s">
        <v>122</v>
      </c>
      <c r="F21" s="31">
        <v>139563</v>
      </c>
      <c r="G21" s="71">
        <f>IFERROR(VLOOKUP(E21, 'DS- Title'!$A:$B, 2, 0), "")</f>
        <v>0</v>
      </c>
      <c r="H21" s="3">
        <v>10.8</v>
      </c>
      <c r="I21" s="3">
        <v>13</v>
      </c>
      <c r="J21" s="2"/>
      <c r="K21" s="3" t="s">
        <v>167</v>
      </c>
      <c r="L21" s="3" t="s">
        <v>259</v>
      </c>
    </row>
    <row r="22" spans="1:12" x14ac:dyDescent="0.25">
      <c r="A22" s="62">
        <f>IF(E22="","",COUNTA($E$6:E22))</f>
        <v>15</v>
      </c>
      <c r="B22" s="95"/>
      <c r="C22" s="92"/>
      <c r="D22" s="60" t="s">
        <v>331</v>
      </c>
      <c r="E22" s="80" t="s">
        <v>121</v>
      </c>
      <c r="F22" s="31">
        <v>121222</v>
      </c>
      <c r="G22" s="71">
        <f>IFERROR(VLOOKUP(E22, 'DS- Title'!$A:$B, 2, 0), "")</f>
        <v>0</v>
      </c>
      <c r="H22" s="3">
        <v>10.7</v>
      </c>
      <c r="I22" s="3">
        <v>13</v>
      </c>
      <c r="J22" s="2"/>
      <c r="K22" s="3" t="s">
        <v>121</v>
      </c>
      <c r="L22" s="3" t="s">
        <v>259</v>
      </c>
    </row>
    <row r="23" spans="1:12" x14ac:dyDescent="0.25">
      <c r="A23" s="9" t="str">
        <f>IF(E23="","",COUNTA($E$6:E23))</f>
        <v/>
      </c>
      <c r="B23" s="7"/>
      <c r="C23" s="7"/>
      <c r="D23" s="7"/>
      <c r="E23" s="47"/>
      <c r="F23" s="48"/>
      <c r="G23" s="73" t="str">
        <f>IFERROR(VLOOKUP(E23, 'DS- Title'!$A:$B, 2, 0), "")</f>
        <v/>
      </c>
      <c r="H23" s="9"/>
      <c r="I23" s="9"/>
      <c r="J23" s="5"/>
      <c r="K23" s="9"/>
      <c r="L23" s="9"/>
    </row>
    <row r="24" spans="1:12" x14ac:dyDescent="0.25">
      <c r="A24" s="62">
        <f>IF(E24="","",COUNTA($E$6:E24))</f>
        <v>16</v>
      </c>
      <c r="B24" s="101">
        <v>4</v>
      </c>
      <c r="C24" s="101" t="s">
        <v>403</v>
      </c>
      <c r="D24" s="60" t="s">
        <v>331</v>
      </c>
      <c r="E24" s="80" t="s">
        <v>120</v>
      </c>
      <c r="F24" s="31">
        <v>7835</v>
      </c>
      <c r="G24" s="71">
        <f>IFERROR(VLOOKUP(E24, 'DS- Title'!$A:$B, 2, 0), "")</f>
        <v>0</v>
      </c>
      <c r="H24" s="3">
        <v>8.3000000000000007</v>
      </c>
      <c r="I24" s="3">
        <v>10</v>
      </c>
      <c r="J24" s="2"/>
      <c r="K24" s="3" t="s">
        <v>168</v>
      </c>
      <c r="L24" s="3" t="s">
        <v>259</v>
      </c>
    </row>
    <row r="25" spans="1:12" x14ac:dyDescent="0.25">
      <c r="A25" s="62">
        <f>IF(E25="","",COUNTA($E$6:E25))</f>
        <v>17</v>
      </c>
      <c r="B25" s="101"/>
      <c r="C25" s="101"/>
      <c r="D25" s="60" t="s">
        <v>331</v>
      </c>
      <c r="E25" s="80" t="s">
        <v>119</v>
      </c>
      <c r="F25" s="31">
        <v>10218</v>
      </c>
      <c r="G25" s="71">
        <f>IFERROR(VLOOKUP(E25, 'DS- Title'!$A:$B, 2, 0), "")</f>
        <v>0</v>
      </c>
      <c r="H25" s="3">
        <v>15.3</v>
      </c>
      <c r="I25" s="3">
        <v>19</v>
      </c>
      <c r="J25" s="2"/>
      <c r="K25" s="3" t="s">
        <v>169</v>
      </c>
      <c r="L25" s="3" t="s">
        <v>259</v>
      </c>
    </row>
    <row r="26" spans="1:12" x14ac:dyDescent="0.25">
      <c r="A26" s="62">
        <f>IF(E26="","",COUNTA($E$6:E26))</f>
        <v>18</v>
      </c>
      <c r="B26" s="101"/>
      <c r="C26" s="101"/>
      <c r="D26" s="60" t="s">
        <v>331</v>
      </c>
      <c r="E26" s="80" t="s">
        <v>118</v>
      </c>
      <c r="F26" s="31">
        <v>54185</v>
      </c>
      <c r="G26" s="71">
        <f>IFERROR(VLOOKUP(E26, 'DS- Title'!$A:$B, 2, 0), "")</f>
        <v>0</v>
      </c>
      <c r="H26" s="3">
        <v>6.2</v>
      </c>
      <c r="I26" s="3">
        <v>8</v>
      </c>
      <c r="J26" s="2"/>
      <c r="K26" s="3" t="s">
        <v>170</v>
      </c>
      <c r="L26" s="3" t="s">
        <v>259</v>
      </c>
    </row>
    <row r="27" spans="1:12" x14ac:dyDescent="0.25">
      <c r="A27" s="62">
        <f>IF(E27="","",COUNTA($E$6:E27))</f>
        <v>19</v>
      </c>
      <c r="B27" s="101"/>
      <c r="C27" s="101"/>
      <c r="D27" s="60" t="s">
        <v>331</v>
      </c>
      <c r="E27" s="80" t="s">
        <v>117</v>
      </c>
      <c r="F27" s="31">
        <v>182468</v>
      </c>
      <c r="G27" s="71">
        <f>IFERROR(VLOOKUP(E27, 'DS- Title'!$A:$B, 2, 0), "")</f>
        <v>0</v>
      </c>
      <c r="H27" s="3">
        <v>10.9</v>
      </c>
      <c r="I27" s="3">
        <v>13</v>
      </c>
      <c r="J27" s="2"/>
      <c r="K27" s="3" t="s">
        <v>171</v>
      </c>
      <c r="L27" s="3" t="s">
        <v>259</v>
      </c>
    </row>
    <row r="28" spans="1:12" x14ac:dyDescent="0.25">
      <c r="A28" s="7" t="str">
        <f>IF(E28="","",COUNTA($E$6:E28))</f>
        <v/>
      </c>
      <c r="B28" s="7"/>
      <c r="C28" s="7"/>
      <c r="D28" s="7"/>
      <c r="E28" s="47"/>
      <c r="F28" s="48"/>
      <c r="G28" s="73" t="str">
        <f>IFERROR(VLOOKUP(E28, 'DS- Title'!$A:$B, 2, 0), "")</f>
        <v/>
      </c>
      <c r="H28" s="9"/>
      <c r="I28" s="9"/>
      <c r="J28" s="5"/>
      <c r="K28" s="9"/>
      <c r="L28" s="9"/>
    </row>
    <row r="29" spans="1:12" x14ac:dyDescent="0.25">
      <c r="A29" s="62">
        <f>IF(E29="","",COUNTA($E$6:E29))</f>
        <v>20</v>
      </c>
      <c r="B29" s="101">
        <v>5</v>
      </c>
      <c r="C29" s="101" t="s">
        <v>304</v>
      </c>
      <c r="D29" s="60" t="s">
        <v>331</v>
      </c>
      <c r="E29" s="80" t="s">
        <v>235</v>
      </c>
      <c r="F29" s="31"/>
      <c r="G29" s="71">
        <f>IFERROR(VLOOKUP(E29, 'DS- Title'!$A:$B, 2, 0), "")</f>
        <v>0</v>
      </c>
      <c r="H29" s="3"/>
      <c r="I29" s="3"/>
      <c r="J29" s="2"/>
      <c r="K29" s="3"/>
      <c r="L29" s="3" t="s">
        <v>259</v>
      </c>
    </row>
    <row r="30" spans="1:12" x14ac:dyDescent="0.25">
      <c r="A30" s="62">
        <f>IF(E30="","",COUNTA($E$6:E30))</f>
        <v>21</v>
      </c>
      <c r="B30" s="101"/>
      <c r="C30" s="101"/>
      <c r="D30" s="60" t="s">
        <v>331</v>
      </c>
      <c r="E30" s="80" t="s">
        <v>115</v>
      </c>
      <c r="F30" s="31">
        <v>586888</v>
      </c>
      <c r="G30" s="71">
        <f>IFERROR(VLOOKUP(E30, 'DS- Title'!$A:$B, 2, 0), "")</f>
        <v>0</v>
      </c>
      <c r="H30" s="3">
        <v>17.100000000000001</v>
      </c>
      <c r="I30" s="3">
        <v>21</v>
      </c>
      <c r="J30" s="2"/>
      <c r="K30" s="3" t="s">
        <v>115</v>
      </c>
      <c r="L30" s="3" t="s">
        <v>259</v>
      </c>
    </row>
    <row r="31" spans="1:12" x14ac:dyDescent="0.25">
      <c r="A31" s="62">
        <f>IF(E31="","",COUNTA($E$6:E31))</f>
        <v>22</v>
      </c>
      <c r="B31" s="101"/>
      <c r="C31" s="101"/>
      <c r="D31" s="60" t="s">
        <v>331</v>
      </c>
      <c r="E31" s="80" t="s">
        <v>114</v>
      </c>
      <c r="F31" s="31">
        <v>49072</v>
      </c>
      <c r="G31" s="71">
        <f>IFERROR(VLOOKUP(E31, 'DS- Title'!$A:$B, 2, 0), "")</f>
        <v>0</v>
      </c>
      <c r="H31" s="3">
        <v>17.899999999999999</v>
      </c>
      <c r="I31" s="3">
        <v>22</v>
      </c>
      <c r="J31" s="2"/>
      <c r="K31" s="3" t="s">
        <v>172</v>
      </c>
      <c r="L31" s="3" t="s">
        <v>259</v>
      </c>
    </row>
    <row r="32" spans="1:12" x14ac:dyDescent="0.25">
      <c r="A32" s="62">
        <f>IF(E32="","",COUNTA($E$6:E32))</f>
        <v>23</v>
      </c>
      <c r="B32" s="101"/>
      <c r="C32" s="101"/>
      <c r="D32" s="60" t="s">
        <v>331</v>
      </c>
      <c r="E32" s="80" t="s">
        <v>113</v>
      </c>
      <c r="F32" s="31">
        <v>13856</v>
      </c>
      <c r="G32" s="71">
        <f>IFERROR(VLOOKUP(E32, 'DS- Title'!$A:$B, 2, 0), "")</f>
        <v>0</v>
      </c>
      <c r="H32" s="3">
        <v>22.4</v>
      </c>
      <c r="I32" s="3">
        <v>27</v>
      </c>
      <c r="J32" s="2"/>
      <c r="K32" s="3" t="s">
        <v>113</v>
      </c>
      <c r="L32" s="3" t="s">
        <v>259</v>
      </c>
    </row>
    <row r="33" spans="1:12" x14ac:dyDescent="0.25">
      <c r="A33" s="9" t="str">
        <f>IF(E33="","",COUNTA($E$6:E33))</f>
        <v/>
      </c>
      <c r="B33" s="7"/>
      <c r="C33" s="7"/>
      <c r="D33" s="7"/>
      <c r="E33" s="47"/>
      <c r="F33" s="48"/>
      <c r="G33" s="73" t="str">
        <f>IFERROR(VLOOKUP(E33, 'DS- Title'!$A:$B, 2, 0), "")</f>
        <v/>
      </c>
      <c r="H33" s="9"/>
      <c r="I33" s="9"/>
      <c r="J33" s="5"/>
      <c r="K33" s="9"/>
      <c r="L33" s="9"/>
    </row>
    <row r="34" spans="1:12" x14ac:dyDescent="0.25">
      <c r="A34" s="62">
        <f>IF(E34="","",COUNTA($E$6:E34))</f>
        <v>24</v>
      </c>
      <c r="B34" s="101">
        <v>6</v>
      </c>
      <c r="C34" s="101" t="s">
        <v>303</v>
      </c>
      <c r="D34" s="60" t="s">
        <v>331</v>
      </c>
      <c r="E34" s="80" t="s">
        <v>112</v>
      </c>
      <c r="F34" s="31">
        <v>54853</v>
      </c>
      <c r="G34" s="71">
        <f>IFERROR(VLOOKUP(E34, 'DS- Title'!$A:$B, 2, 0), "")</f>
        <v>0</v>
      </c>
      <c r="H34" s="3">
        <v>13.7</v>
      </c>
      <c r="I34" s="3">
        <v>17</v>
      </c>
      <c r="J34" s="2"/>
      <c r="K34" s="3" t="s">
        <v>173</v>
      </c>
      <c r="L34" s="3" t="s">
        <v>259</v>
      </c>
    </row>
    <row r="35" spans="1:12" x14ac:dyDescent="0.25">
      <c r="A35" s="62">
        <f>IF(E35="","",COUNTA($E$6:E35))</f>
        <v>25</v>
      </c>
      <c r="B35" s="101"/>
      <c r="C35" s="101"/>
      <c r="D35" s="60" t="s">
        <v>331</v>
      </c>
      <c r="E35" s="80" t="s">
        <v>111</v>
      </c>
      <c r="F35" s="31">
        <v>43103</v>
      </c>
      <c r="G35" s="71">
        <f>IFERROR(VLOOKUP(E35, 'DS- Title'!$A:$B, 2, 0), "")</f>
        <v>0</v>
      </c>
      <c r="H35" s="3">
        <v>17.600000000000001</v>
      </c>
      <c r="I35" s="3">
        <v>21</v>
      </c>
      <c r="J35" s="2"/>
      <c r="K35" s="3" t="s">
        <v>111</v>
      </c>
      <c r="L35" s="3" t="s">
        <v>259</v>
      </c>
    </row>
    <row r="36" spans="1:12" x14ac:dyDescent="0.25">
      <c r="A36" s="62">
        <f>IF(E36="","",COUNTA($E$6:E36))</f>
        <v>26</v>
      </c>
      <c r="B36" s="101"/>
      <c r="C36" s="101"/>
      <c r="D36" s="60" t="s">
        <v>331</v>
      </c>
      <c r="E36" s="80" t="s">
        <v>110</v>
      </c>
      <c r="F36" s="31">
        <v>71955</v>
      </c>
      <c r="G36" s="71">
        <f>IFERROR(VLOOKUP(E36, 'DS- Title'!$A:$B, 2, 0), "")</f>
        <v>0</v>
      </c>
      <c r="H36" s="3">
        <v>16.100000000000001</v>
      </c>
      <c r="I36" s="3">
        <v>20</v>
      </c>
      <c r="J36" s="2"/>
      <c r="K36" s="3" t="s">
        <v>174</v>
      </c>
      <c r="L36" s="3" t="s">
        <v>259</v>
      </c>
    </row>
    <row r="37" spans="1:12" x14ac:dyDescent="0.25">
      <c r="A37" s="62">
        <f>IF(E37="","",COUNTA($E$6:E37))</f>
        <v>27</v>
      </c>
      <c r="B37" s="101"/>
      <c r="C37" s="101"/>
      <c r="D37" s="60" t="s">
        <v>331</v>
      </c>
      <c r="E37" s="80" t="s">
        <v>232</v>
      </c>
      <c r="F37" s="31">
        <v>82234</v>
      </c>
      <c r="G37" s="71">
        <f>IFERROR(VLOOKUP(E37, 'DS- Title'!$A:$B, 2, 0), "")</f>
        <v>0</v>
      </c>
      <c r="H37" s="3">
        <v>17</v>
      </c>
      <c r="I37" s="3">
        <v>21</v>
      </c>
      <c r="J37" s="2"/>
      <c r="K37" s="3" t="s">
        <v>233</v>
      </c>
      <c r="L37" s="3" t="s">
        <v>259</v>
      </c>
    </row>
    <row r="38" spans="1:12" x14ac:dyDescent="0.25">
      <c r="A38" s="9" t="str">
        <f>IF(E38="","",COUNTA($E$6:E38))</f>
        <v/>
      </c>
      <c r="B38" s="7"/>
      <c r="C38" s="7"/>
      <c r="D38" s="7"/>
      <c r="E38" s="47"/>
      <c r="F38" s="48"/>
      <c r="G38" s="73" t="str">
        <f>IFERROR(VLOOKUP(E38, 'DS- Title'!$A:$B, 2, 0), "")</f>
        <v/>
      </c>
      <c r="H38" s="9"/>
      <c r="I38" s="9"/>
      <c r="J38" s="5"/>
      <c r="K38" s="9"/>
      <c r="L38" s="9"/>
    </row>
    <row r="39" spans="1:12" x14ac:dyDescent="0.25">
      <c r="A39" s="62">
        <f>IF(E39="","",COUNTA($E$6:E39))</f>
        <v>28</v>
      </c>
      <c r="B39" s="101">
        <v>7</v>
      </c>
      <c r="C39" s="101" t="s">
        <v>300</v>
      </c>
      <c r="D39" s="60" t="s">
        <v>331</v>
      </c>
      <c r="E39" s="80" t="s">
        <v>72</v>
      </c>
      <c r="F39" s="31">
        <v>916007</v>
      </c>
      <c r="G39" s="71">
        <f>IFERROR(VLOOKUP(E39, 'DS- Title'!$A:$B, 2, 0), "")</f>
        <v>0</v>
      </c>
      <c r="H39" s="44">
        <v>14.3</v>
      </c>
      <c r="I39" s="44">
        <v>17</v>
      </c>
      <c r="J39" s="2"/>
      <c r="K39" s="44" t="s">
        <v>72</v>
      </c>
      <c r="L39" s="44" t="s">
        <v>261</v>
      </c>
    </row>
    <row r="40" spans="1:12" x14ac:dyDescent="0.25">
      <c r="A40" s="62">
        <f>IF(E40="","",COUNTA($E$6:E40))</f>
        <v>29</v>
      </c>
      <c r="B40" s="101"/>
      <c r="C40" s="101"/>
      <c r="D40" s="60" t="s">
        <v>331</v>
      </c>
      <c r="E40" s="82" t="s">
        <v>93</v>
      </c>
      <c r="F40" s="54">
        <v>180483</v>
      </c>
      <c r="G40" s="71" t="str">
        <f>IFERROR(VLOOKUP(E40, 'DS- Title'!$A:$B, 2, 0), "")</f>
        <v>Tổng Giám Đốc Cienco5</v>
      </c>
      <c r="H40" s="44">
        <v>11.4</v>
      </c>
      <c r="I40" s="44">
        <v>14</v>
      </c>
      <c r="J40" s="2"/>
      <c r="K40" s="44" t="s">
        <v>184</v>
      </c>
      <c r="L40" s="44" t="s">
        <v>261</v>
      </c>
    </row>
    <row r="41" spans="1:12" x14ac:dyDescent="0.25">
      <c r="A41" s="62">
        <f>IF(E41="","",COUNTA($E$6:E41))</f>
        <v>30</v>
      </c>
      <c r="B41" s="101"/>
      <c r="C41" s="101"/>
      <c r="D41" s="60" t="s">
        <v>331</v>
      </c>
      <c r="E41" s="80" t="s">
        <v>83</v>
      </c>
      <c r="F41" s="31">
        <v>96074</v>
      </c>
      <c r="G41" s="71" t="str">
        <f>IFERROR(VLOOKUP(E41, 'DS- Title'!$A:$B, 2, 0), "")</f>
        <v>Giám đốc</v>
      </c>
      <c r="H41" s="44">
        <v>10</v>
      </c>
      <c r="I41" s="44">
        <v>12</v>
      </c>
      <c r="J41" s="2"/>
      <c r="K41" s="44" t="s">
        <v>83</v>
      </c>
      <c r="L41" s="44" t="s">
        <v>262</v>
      </c>
    </row>
    <row r="42" spans="1:12" x14ac:dyDescent="0.25">
      <c r="A42" s="62">
        <f>IF(E42="","",COUNTA($E$6:E42))</f>
        <v>31</v>
      </c>
      <c r="B42" s="101"/>
      <c r="C42" s="101"/>
      <c r="D42" s="60" t="s">
        <v>331</v>
      </c>
      <c r="E42" s="80" t="s">
        <v>37</v>
      </c>
      <c r="F42" s="31">
        <v>20601</v>
      </c>
      <c r="G42" s="71">
        <f>IFERROR(VLOOKUP(E42, 'DS- Title'!$A:$B, 2, 0), "")</f>
        <v>0</v>
      </c>
      <c r="H42" s="44">
        <v>9.3000000000000007</v>
      </c>
      <c r="I42" s="44">
        <v>11</v>
      </c>
      <c r="J42" s="2"/>
      <c r="K42" s="44" t="s">
        <v>212</v>
      </c>
      <c r="L42" s="44" t="s">
        <v>262</v>
      </c>
    </row>
    <row r="43" spans="1:12" x14ac:dyDescent="0.25">
      <c r="A43" s="62">
        <f>IF(E43="","",COUNTA($E$6:E43))</f>
        <v>32</v>
      </c>
      <c r="B43" s="101"/>
      <c r="C43" s="101"/>
      <c r="D43" s="60" t="s">
        <v>331</v>
      </c>
      <c r="E43" s="80" t="s">
        <v>86</v>
      </c>
      <c r="F43" s="55"/>
      <c r="G43" s="71">
        <f>IFERROR(VLOOKUP(E43, 'DS- Title'!$A:$B, 2, 0), "")</f>
        <v>0</v>
      </c>
      <c r="H43" s="26"/>
      <c r="I43" s="26"/>
      <c r="J43" s="20"/>
      <c r="K43" s="20"/>
      <c r="L43" s="44" t="s">
        <v>262</v>
      </c>
    </row>
    <row r="44" spans="1:12" x14ac:dyDescent="0.25">
      <c r="A44" s="9" t="str">
        <f>IF(E44="","",COUNTA($E$6:E44))</f>
        <v/>
      </c>
      <c r="B44" s="7"/>
      <c r="C44" s="7"/>
      <c r="D44" s="7"/>
      <c r="E44" s="47"/>
      <c r="F44" s="48"/>
      <c r="G44" s="73" t="str">
        <f>IFERROR(VLOOKUP(E44, 'DS- Title'!$A:$B, 2, 0), "")</f>
        <v/>
      </c>
      <c r="H44" s="9"/>
      <c r="I44" s="9"/>
      <c r="J44" s="5"/>
      <c r="K44" s="9"/>
      <c r="L44" s="9"/>
    </row>
    <row r="45" spans="1:12" x14ac:dyDescent="0.25">
      <c r="A45" s="62">
        <f>IF(E45="","",COUNTA($E$6:E45))</f>
        <v>33</v>
      </c>
      <c r="B45" s="101">
        <v>8</v>
      </c>
      <c r="C45" s="101" t="s">
        <v>287</v>
      </c>
      <c r="D45" s="60" t="s">
        <v>333</v>
      </c>
      <c r="E45" s="80" t="s">
        <v>105</v>
      </c>
      <c r="F45" s="31">
        <v>150317</v>
      </c>
      <c r="G45" s="71">
        <f>IFERROR(VLOOKUP(E45, 'DS- Title'!$A:$B, 2, 0), "")</f>
        <v>0</v>
      </c>
      <c r="H45" s="3">
        <v>32.299999999999997</v>
      </c>
      <c r="I45" s="3">
        <v>37</v>
      </c>
      <c r="J45" s="2"/>
      <c r="K45" s="3" t="s">
        <v>178</v>
      </c>
      <c r="L45" s="3" t="s">
        <v>260</v>
      </c>
    </row>
    <row r="46" spans="1:12" x14ac:dyDescent="0.25">
      <c r="A46" s="62">
        <f>IF(E46="","",COUNTA($E$6:E46))</f>
        <v>34</v>
      </c>
      <c r="B46" s="101"/>
      <c r="C46" s="101"/>
      <c r="D46" s="60" t="s">
        <v>333</v>
      </c>
      <c r="E46" s="80" t="s">
        <v>104</v>
      </c>
      <c r="F46" s="31">
        <v>113219</v>
      </c>
      <c r="G46" s="71">
        <f>IFERROR(VLOOKUP(E46, 'DS- Title'!$A:$B, 2, 0), "")</f>
        <v>0</v>
      </c>
      <c r="H46" s="3">
        <v>35.5</v>
      </c>
      <c r="I46" s="3">
        <v>40</v>
      </c>
      <c r="J46" s="2"/>
      <c r="K46" s="3" t="s">
        <v>179</v>
      </c>
      <c r="L46" s="3" t="s">
        <v>260</v>
      </c>
    </row>
    <row r="47" spans="1:12" x14ac:dyDescent="0.25">
      <c r="A47" s="62">
        <f>IF(E47="","",COUNTA($E$6:E47))</f>
        <v>35</v>
      </c>
      <c r="B47" s="101"/>
      <c r="C47" s="101"/>
      <c r="D47" s="60" t="s">
        <v>333</v>
      </c>
      <c r="E47" s="80" t="s">
        <v>334</v>
      </c>
      <c r="F47" s="31">
        <v>223844</v>
      </c>
      <c r="G47" s="71" t="str">
        <f>IFERROR(VLOOKUP(E47, 'DS- Title'!$A:$B, 2, 0), "")</f>
        <v/>
      </c>
      <c r="H47" s="3">
        <v>30.1</v>
      </c>
      <c r="I47" s="3">
        <v>34</v>
      </c>
      <c r="J47" s="2"/>
      <c r="K47" s="3" t="s">
        <v>180</v>
      </c>
      <c r="L47" s="3" t="s">
        <v>260</v>
      </c>
    </row>
    <row r="48" spans="1:12" x14ac:dyDescent="0.25">
      <c r="A48" s="62">
        <f>IF(E48="","",COUNTA($E$6:E48))</f>
        <v>36</v>
      </c>
      <c r="B48" s="101"/>
      <c r="C48" s="101"/>
      <c r="D48" s="60" t="s">
        <v>333</v>
      </c>
      <c r="E48" s="80" t="s">
        <v>100</v>
      </c>
      <c r="F48" s="31">
        <v>34893</v>
      </c>
      <c r="G48" s="71">
        <f>IFERROR(VLOOKUP(E48, 'DS- Title'!$A:$B, 2, 0), "")</f>
        <v>0</v>
      </c>
      <c r="H48" s="3">
        <v>29.9</v>
      </c>
      <c r="I48" s="3">
        <v>34</v>
      </c>
      <c r="J48" s="2"/>
      <c r="K48" s="3" t="s">
        <v>183</v>
      </c>
      <c r="L48" s="3" t="s">
        <v>260</v>
      </c>
    </row>
    <row r="49" spans="1:19" x14ac:dyDescent="0.25">
      <c r="A49" s="9" t="str">
        <f>IF(E49="","",COUNTA($E$6:E49))</f>
        <v/>
      </c>
      <c r="B49" s="7"/>
      <c r="C49" s="7"/>
      <c r="D49" s="7"/>
      <c r="E49" s="47"/>
      <c r="F49" s="47"/>
      <c r="G49" s="73" t="str">
        <f>IFERROR(VLOOKUP(E49, 'DS- Title'!$A:$B, 2, 0), "")</f>
        <v/>
      </c>
      <c r="H49" s="9"/>
      <c r="I49" s="9"/>
      <c r="J49" s="5"/>
      <c r="K49" s="9"/>
      <c r="L49" s="9"/>
    </row>
    <row r="50" spans="1:19" x14ac:dyDescent="0.25">
      <c r="A50" s="62">
        <f>IF(E50="","",COUNTA($E$6:E50))</f>
        <v>37</v>
      </c>
      <c r="B50" s="101">
        <v>9</v>
      </c>
      <c r="C50" s="101" t="s">
        <v>302</v>
      </c>
      <c r="D50" s="60" t="s">
        <v>333</v>
      </c>
      <c r="E50" s="80" t="s">
        <v>102</v>
      </c>
      <c r="F50" s="31">
        <v>23200</v>
      </c>
      <c r="G50" s="71">
        <f>IFERROR(VLOOKUP(E50, 'DS- Title'!$A:$B, 2, 0), "")</f>
        <v>0</v>
      </c>
      <c r="H50" s="3">
        <v>27.9</v>
      </c>
      <c r="I50" s="3">
        <v>32</v>
      </c>
      <c r="J50" s="2"/>
      <c r="K50" s="3" t="s">
        <v>182</v>
      </c>
      <c r="L50" s="3" t="s">
        <v>260</v>
      </c>
    </row>
    <row r="51" spans="1:19" x14ac:dyDescent="0.25">
      <c r="A51" s="62">
        <f>IF(E51="","",COUNTA($E$6:E51))</f>
        <v>38</v>
      </c>
      <c r="B51" s="101"/>
      <c r="C51" s="101"/>
      <c r="D51" s="60" t="s">
        <v>333</v>
      </c>
      <c r="E51" s="80" t="s">
        <v>101</v>
      </c>
      <c r="F51" s="31">
        <v>32654</v>
      </c>
      <c r="G51" s="71">
        <f>IFERROR(VLOOKUP(E51, 'DS- Title'!$A:$B, 2, 0), "")</f>
        <v>0</v>
      </c>
      <c r="H51" s="3">
        <v>25.2</v>
      </c>
      <c r="I51" s="3">
        <v>29</v>
      </c>
      <c r="J51" s="2"/>
      <c r="K51" s="3" t="s">
        <v>101</v>
      </c>
      <c r="L51" s="3" t="s">
        <v>260</v>
      </c>
    </row>
    <row r="52" spans="1:19" x14ac:dyDescent="0.25">
      <c r="A52" s="62">
        <f>IF(E52="","",COUNTA($E$6:E52))</f>
        <v>39</v>
      </c>
      <c r="B52" s="101"/>
      <c r="C52" s="101"/>
      <c r="D52" s="60" t="s">
        <v>333</v>
      </c>
      <c r="E52" s="80" t="s">
        <v>103</v>
      </c>
      <c r="F52" s="31">
        <v>656688</v>
      </c>
      <c r="G52" s="71">
        <f>IFERROR(VLOOKUP(E52, 'DS- Title'!$A:$B, 2, 0), "")</f>
        <v>0</v>
      </c>
      <c r="H52" s="3">
        <v>11.4</v>
      </c>
      <c r="I52" s="3">
        <v>13</v>
      </c>
      <c r="J52" s="2"/>
      <c r="K52" s="3" t="s">
        <v>103</v>
      </c>
      <c r="L52" s="3" t="s">
        <v>260</v>
      </c>
    </row>
    <row r="53" spans="1:19" x14ac:dyDescent="0.25">
      <c r="A53" s="62">
        <f>IF(E53="","",COUNTA($E$6:E53))</f>
        <v>40</v>
      </c>
      <c r="B53" s="101"/>
      <c r="C53" s="101"/>
      <c r="D53" s="60" t="s">
        <v>333</v>
      </c>
      <c r="E53" s="80" t="s">
        <v>108</v>
      </c>
      <c r="F53" s="31">
        <v>44690</v>
      </c>
      <c r="G53" s="71">
        <f>IFERROR(VLOOKUP(E53, 'DS- Title'!$A:$B, 2, 0), "")</f>
        <v>0</v>
      </c>
      <c r="H53" s="3">
        <v>13.1</v>
      </c>
      <c r="I53" s="3">
        <v>15</v>
      </c>
      <c r="J53" s="2"/>
      <c r="K53" s="3" t="s">
        <v>108</v>
      </c>
      <c r="L53" s="3" t="s">
        <v>260</v>
      </c>
    </row>
    <row r="54" spans="1:19" x14ac:dyDescent="0.25">
      <c r="A54" s="9" t="str">
        <f>IF(E54="","",COUNTA($E$6:E54))</f>
        <v/>
      </c>
      <c r="B54" s="7"/>
      <c r="C54" s="7"/>
      <c r="D54" s="7"/>
      <c r="E54" s="49"/>
      <c r="F54" s="50"/>
      <c r="G54" s="73" t="str">
        <f>IFERROR(VLOOKUP(E54, 'DS- Title'!$A:$B, 2, 0), "")</f>
        <v/>
      </c>
      <c r="H54" s="9"/>
      <c r="I54" s="9"/>
      <c r="J54" s="5"/>
      <c r="K54" s="9"/>
      <c r="L54" s="9" t="s">
        <v>268</v>
      </c>
    </row>
    <row r="55" spans="1:19" x14ac:dyDescent="0.25">
      <c r="A55" s="62">
        <f>IF(E55="","",COUNTA($E$6:E55))</f>
        <v>41</v>
      </c>
      <c r="B55" s="101">
        <v>10</v>
      </c>
      <c r="C55" s="101" t="s">
        <v>301</v>
      </c>
      <c r="D55" s="60" t="s">
        <v>331</v>
      </c>
      <c r="E55" s="80" t="s">
        <v>92</v>
      </c>
      <c r="F55" s="31">
        <v>49060</v>
      </c>
      <c r="G55" s="71">
        <f>IFERROR(VLOOKUP(E55, 'DS- Title'!$A:$B, 2, 0), "")</f>
        <v>0</v>
      </c>
      <c r="H55" s="3">
        <v>23</v>
      </c>
      <c r="I55" s="3">
        <v>28</v>
      </c>
      <c r="J55" s="2"/>
      <c r="K55" s="3" t="s">
        <v>185</v>
      </c>
      <c r="L55" s="3" t="s">
        <v>261</v>
      </c>
    </row>
    <row r="56" spans="1:19" x14ac:dyDescent="0.25">
      <c r="A56" s="62">
        <f>IF(E56="","",COUNTA($E$6:E56))</f>
        <v>42</v>
      </c>
      <c r="B56" s="101"/>
      <c r="C56" s="101"/>
      <c r="D56" s="60" t="s">
        <v>331</v>
      </c>
      <c r="E56" s="80" t="s">
        <v>90</v>
      </c>
      <c r="F56" s="31">
        <v>70694</v>
      </c>
      <c r="G56" s="71">
        <f>IFERROR(VLOOKUP(E56, 'DS- Title'!$A:$B, 2, 0), "")</f>
        <v>0</v>
      </c>
      <c r="H56" s="3">
        <v>18.899999999999999</v>
      </c>
      <c r="I56" s="3">
        <v>23</v>
      </c>
      <c r="J56" s="2"/>
      <c r="K56" s="3" t="s">
        <v>90</v>
      </c>
      <c r="L56" s="3" t="s">
        <v>261</v>
      </c>
    </row>
    <row r="57" spans="1:19" x14ac:dyDescent="0.25">
      <c r="A57" s="62">
        <f>IF(E57="","",COUNTA($E$6:E57))</f>
        <v>43</v>
      </c>
      <c r="B57" s="101"/>
      <c r="C57" s="101"/>
      <c r="D57" s="60" t="s">
        <v>331</v>
      </c>
      <c r="E57" s="80" t="s">
        <v>89</v>
      </c>
      <c r="F57" s="31">
        <v>59070</v>
      </c>
      <c r="G57" s="71">
        <f>IFERROR(VLOOKUP(E57, 'DS- Title'!$A:$B, 2, 0), "")</f>
        <v>0</v>
      </c>
      <c r="H57" s="3">
        <v>13.3</v>
      </c>
      <c r="I57" s="3">
        <v>16</v>
      </c>
      <c r="J57" s="2"/>
      <c r="K57" s="3" t="s">
        <v>187</v>
      </c>
      <c r="L57" s="3" t="s">
        <v>261</v>
      </c>
    </row>
    <row r="58" spans="1:19" x14ac:dyDescent="0.25">
      <c r="A58" s="62">
        <f>IF(E58="","",COUNTA($E$6:E58))</f>
        <v>44</v>
      </c>
      <c r="B58" s="101"/>
      <c r="C58" s="101"/>
      <c r="D58" s="60" t="s">
        <v>331</v>
      </c>
      <c r="E58" s="80" t="s">
        <v>88</v>
      </c>
      <c r="F58" s="31"/>
      <c r="G58" s="71">
        <f>IFERROR(VLOOKUP(E58, 'DS- Title'!$A:$B, 2, 0), "")</f>
        <v>0</v>
      </c>
      <c r="H58" s="3"/>
      <c r="I58" s="3"/>
      <c r="J58" s="2"/>
      <c r="K58" s="3"/>
      <c r="L58" s="3" t="s">
        <v>261</v>
      </c>
    </row>
    <row r="59" spans="1:19" ht="16.5" customHeight="1" x14ac:dyDescent="0.25">
      <c r="A59" s="9" t="str">
        <f>IF(E59="","",COUNTA($E$6:E59))</f>
        <v/>
      </c>
      <c r="B59" s="7"/>
      <c r="C59" s="7"/>
      <c r="D59" s="7"/>
      <c r="E59" s="47"/>
      <c r="F59" s="48"/>
      <c r="G59" s="73" t="str">
        <f>IFERROR(VLOOKUP(E59, 'DS- Title'!$A:$B, 2, 0), "")</f>
        <v/>
      </c>
      <c r="H59" s="9"/>
      <c r="I59" s="9"/>
      <c r="J59" s="5"/>
      <c r="K59" s="9"/>
      <c r="L59" s="9"/>
    </row>
    <row r="60" spans="1:19" x14ac:dyDescent="0.25">
      <c r="A60" s="62">
        <f>IF(E60="","",COUNTA($E$6:E60))</f>
        <v>45</v>
      </c>
      <c r="B60" s="101">
        <v>11</v>
      </c>
      <c r="C60" s="101" t="s">
        <v>298</v>
      </c>
      <c r="D60" s="60" t="s">
        <v>331</v>
      </c>
      <c r="E60" s="80" t="s">
        <v>153</v>
      </c>
      <c r="F60" s="31">
        <v>2435</v>
      </c>
      <c r="G60" s="71">
        <f>IFERROR(VLOOKUP(E60, 'DS- Title'!$A:$B, 2, 0), "")</f>
        <v>0</v>
      </c>
      <c r="H60" s="3">
        <v>19.899999999999999</v>
      </c>
      <c r="I60" s="3">
        <v>24</v>
      </c>
      <c r="J60" s="2"/>
      <c r="K60" s="3" t="s">
        <v>218</v>
      </c>
      <c r="L60" s="3" t="s">
        <v>261</v>
      </c>
      <c r="N60" s="38"/>
      <c r="O60" s="39"/>
      <c r="P60" s="40"/>
      <c r="Q60" s="40"/>
      <c r="R60" s="41"/>
      <c r="S60" s="40"/>
    </row>
    <row r="61" spans="1:19" x14ac:dyDescent="0.25">
      <c r="A61" s="62">
        <f>IF(E61="","",COUNTA($E$6:E61))</f>
        <v>46</v>
      </c>
      <c r="B61" s="101"/>
      <c r="C61" s="101"/>
      <c r="D61" s="60" t="s">
        <v>331</v>
      </c>
      <c r="E61" s="80" t="s">
        <v>20</v>
      </c>
      <c r="F61" s="31"/>
      <c r="G61" s="71">
        <f>IFERROR(VLOOKUP(E61, 'DS- Title'!$A:$B, 2, 0), "")</f>
        <v>0</v>
      </c>
      <c r="H61" s="3"/>
      <c r="I61" s="3"/>
      <c r="J61" s="2"/>
      <c r="K61" s="3"/>
      <c r="L61" s="3" t="s">
        <v>261</v>
      </c>
    </row>
    <row r="62" spans="1:19" x14ac:dyDescent="0.25">
      <c r="A62" s="62">
        <f>IF(E62="","",COUNTA($E$6:E62))</f>
        <v>47</v>
      </c>
      <c r="B62" s="101"/>
      <c r="C62" s="101"/>
      <c r="D62" s="60" t="s">
        <v>331</v>
      </c>
      <c r="E62" s="80" t="s">
        <v>87</v>
      </c>
      <c r="F62" s="31">
        <v>45539</v>
      </c>
      <c r="G62" s="71">
        <f>IFERROR(VLOOKUP(E62, 'DS- Title'!$A:$B, 2, 0), "")</f>
        <v>0</v>
      </c>
      <c r="H62" s="3">
        <v>21.9</v>
      </c>
      <c r="I62" s="3">
        <v>27</v>
      </c>
      <c r="J62" s="2"/>
      <c r="K62" s="3" t="s">
        <v>87</v>
      </c>
      <c r="L62" s="3" t="s">
        <v>261</v>
      </c>
    </row>
    <row r="63" spans="1:19" x14ac:dyDescent="0.25">
      <c r="A63" s="62">
        <f>IF(E63="","",COUNTA($E$6:E63))</f>
        <v>48</v>
      </c>
      <c r="B63" s="101"/>
      <c r="C63" s="101"/>
      <c r="D63" s="60" t="s">
        <v>331</v>
      </c>
      <c r="E63" s="80" t="s">
        <v>152</v>
      </c>
      <c r="F63" s="31">
        <v>7116</v>
      </c>
      <c r="G63" s="71">
        <f>IFERROR(VLOOKUP(E63, 'DS- Title'!$A:$B, 2, 0), "")</f>
        <v>0</v>
      </c>
      <c r="H63" s="17">
        <v>19.3</v>
      </c>
      <c r="I63" s="17">
        <v>23</v>
      </c>
      <c r="J63" s="8"/>
      <c r="K63" s="17" t="s">
        <v>189</v>
      </c>
      <c r="L63" s="17" t="s">
        <v>261</v>
      </c>
    </row>
    <row r="64" spans="1:19" x14ac:dyDescent="0.25">
      <c r="A64" s="9" t="str">
        <f>IF(E64="","",COUNTA($E$6:E64))</f>
        <v/>
      </c>
      <c r="B64" s="7"/>
      <c r="C64" s="7"/>
      <c r="D64" s="7"/>
      <c r="E64" s="47"/>
      <c r="F64" s="48"/>
      <c r="G64" s="73" t="str">
        <f>IFERROR(VLOOKUP(E64, 'DS- Title'!$A:$B, 2, 0), "")</f>
        <v/>
      </c>
      <c r="H64" s="9"/>
      <c r="I64" s="9"/>
      <c r="J64" s="5"/>
      <c r="K64" s="9"/>
      <c r="L64" s="9"/>
    </row>
    <row r="65" spans="1:18" x14ac:dyDescent="0.25">
      <c r="A65" s="62">
        <f>IF(E65="","",COUNTA($E$6:E65))</f>
        <v>49</v>
      </c>
      <c r="B65" s="101">
        <v>12</v>
      </c>
      <c r="C65" s="101" t="s">
        <v>305</v>
      </c>
      <c r="D65" s="60" t="s">
        <v>333</v>
      </c>
      <c r="E65" s="80" t="s">
        <v>98</v>
      </c>
      <c r="F65" s="31">
        <v>55263</v>
      </c>
      <c r="G65" s="71">
        <f>IFERROR(VLOOKUP(E65, 'DS- Title'!$A:$B, 2, 0), "")</f>
        <v>0</v>
      </c>
      <c r="H65" s="3">
        <v>15.5</v>
      </c>
      <c r="I65" s="3">
        <v>18</v>
      </c>
      <c r="J65" s="2"/>
      <c r="K65" s="3" t="s">
        <v>98</v>
      </c>
      <c r="L65" s="3" t="s">
        <v>260</v>
      </c>
    </row>
    <row r="66" spans="1:18" x14ac:dyDescent="0.25">
      <c r="A66" s="62">
        <f>IF(E66="","",COUNTA($E$6:E66))</f>
        <v>50</v>
      </c>
      <c r="B66" s="101"/>
      <c r="C66" s="101"/>
      <c r="D66" s="60" t="s">
        <v>333</v>
      </c>
      <c r="E66" s="80" t="s">
        <v>95</v>
      </c>
      <c r="F66" s="31">
        <v>52135</v>
      </c>
      <c r="G66" s="71">
        <f>IFERROR(VLOOKUP(E66, 'DS- Title'!$A:$B, 2, 0), "")</f>
        <v>0</v>
      </c>
      <c r="H66" s="3">
        <v>19.399999999999999</v>
      </c>
      <c r="I66" s="3">
        <v>22</v>
      </c>
      <c r="J66" s="2"/>
      <c r="K66" s="3" t="s">
        <v>95</v>
      </c>
      <c r="L66" s="3" t="s">
        <v>260</v>
      </c>
    </row>
    <row r="67" spans="1:18" x14ac:dyDescent="0.25">
      <c r="A67" s="62">
        <f>IF(E67="","",COUNTA($E$6:E67))</f>
        <v>51</v>
      </c>
      <c r="B67" s="101"/>
      <c r="C67" s="101"/>
      <c r="D67" s="60" t="s">
        <v>331</v>
      </c>
      <c r="E67" s="80" t="s">
        <v>94</v>
      </c>
      <c r="F67" s="31">
        <v>55038</v>
      </c>
      <c r="G67" s="71">
        <f>IFERROR(VLOOKUP(E67, 'DS- Title'!$A:$B, 2, 0), "")</f>
        <v>0</v>
      </c>
      <c r="H67" s="3">
        <v>21.4</v>
      </c>
      <c r="I67" s="3">
        <v>26</v>
      </c>
      <c r="J67" s="2"/>
      <c r="K67" s="3" t="s">
        <v>94</v>
      </c>
      <c r="L67" s="3" t="s">
        <v>260</v>
      </c>
    </row>
    <row r="68" spans="1:18" x14ac:dyDescent="0.25">
      <c r="A68" s="62">
        <f>IF(E68="","",COUNTA($E$6:E68))</f>
        <v>52</v>
      </c>
      <c r="B68" s="101"/>
      <c r="C68" s="101"/>
      <c r="D68" s="60" t="s">
        <v>331</v>
      </c>
      <c r="E68" s="80" t="s">
        <v>99</v>
      </c>
      <c r="F68" s="31">
        <v>194950</v>
      </c>
      <c r="G68" s="71">
        <f>IFERROR(VLOOKUP(E68, 'DS- Title'!$A:$B, 2, 0), "")</f>
        <v>0</v>
      </c>
      <c r="H68" s="3">
        <v>10.6</v>
      </c>
      <c r="I68" s="3">
        <v>13</v>
      </c>
      <c r="J68" s="2"/>
      <c r="K68" s="3" t="s">
        <v>165</v>
      </c>
      <c r="L68" s="3" t="s">
        <v>260</v>
      </c>
    </row>
    <row r="69" spans="1:18" x14ac:dyDescent="0.25">
      <c r="A69" s="9" t="str">
        <f>IF(E69="","",COUNTA($E$6:E69))</f>
        <v/>
      </c>
      <c r="B69" s="7"/>
      <c r="C69" s="7"/>
      <c r="D69" s="7"/>
      <c r="E69" s="47"/>
      <c r="F69" s="48"/>
      <c r="G69" s="73" t="str">
        <f>IFERROR(VLOOKUP(E69, 'DS- Title'!$A:$B, 2, 0), "")</f>
        <v/>
      </c>
      <c r="H69" s="9"/>
      <c r="I69" s="9"/>
      <c r="J69" s="5"/>
      <c r="K69" s="9"/>
      <c r="L69" s="9" t="s">
        <v>267</v>
      </c>
    </row>
    <row r="70" spans="1:18" x14ac:dyDescent="0.25">
      <c r="A70" s="62">
        <f>IF(E70="","",COUNTA($E$6:E70))</f>
        <v>53</v>
      </c>
      <c r="B70" s="101">
        <v>13</v>
      </c>
      <c r="C70" s="101" t="s">
        <v>288</v>
      </c>
      <c r="D70" s="60" t="s">
        <v>331</v>
      </c>
      <c r="E70" s="80" t="s">
        <v>76</v>
      </c>
      <c r="F70" s="31"/>
      <c r="G70" s="71">
        <f>IFERROR(VLOOKUP(E70, 'DS- Title'!$A:$B, 2, 0), "")</f>
        <v>0</v>
      </c>
      <c r="H70" s="3"/>
      <c r="I70" s="3"/>
      <c r="J70" s="2"/>
      <c r="K70" s="3"/>
      <c r="L70" s="3" t="s">
        <v>261</v>
      </c>
    </row>
    <row r="71" spans="1:18" x14ac:dyDescent="0.25">
      <c r="A71" s="62">
        <f>IF(E71="","",COUNTA($E$6:E71))</f>
        <v>54</v>
      </c>
      <c r="B71" s="101"/>
      <c r="C71" s="101"/>
      <c r="D71" s="60" t="s">
        <v>333</v>
      </c>
      <c r="E71" s="80" t="s">
        <v>107</v>
      </c>
      <c r="F71" s="31">
        <v>23688</v>
      </c>
      <c r="G71" s="71">
        <f>IFERROR(VLOOKUP(E71, 'DS- Title'!$A:$B, 2, 0), "")</f>
        <v>0</v>
      </c>
      <c r="H71" s="3">
        <v>16.7</v>
      </c>
      <c r="I71" s="3">
        <v>19</v>
      </c>
      <c r="J71" s="2"/>
      <c r="K71" s="3" t="s">
        <v>176</v>
      </c>
      <c r="L71" s="3" t="s">
        <v>261</v>
      </c>
    </row>
    <row r="72" spans="1:18" x14ac:dyDescent="0.25">
      <c r="A72" s="62">
        <f>IF(E72="","",COUNTA($E$6:E72))</f>
        <v>55</v>
      </c>
      <c r="B72" s="101"/>
      <c r="C72" s="101"/>
      <c r="D72" s="60" t="s">
        <v>331</v>
      </c>
      <c r="E72" s="80" t="s">
        <v>48</v>
      </c>
      <c r="F72" s="31">
        <v>75568</v>
      </c>
      <c r="G72" s="71">
        <f>IFERROR(VLOOKUP(E72, 'DS- Title'!$A:$B, 2, 0), "")</f>
        <v>0</v>
      </c>
      <c r="H72" s="3">
        <v>18.399999999999999</v>
      </c>
      <c r="I72" s="3">
        <v>22</v>
      </c>
      <c r="J72" s="2"/>
      <c r="K72" s="3" t="s">
        <v>209</v>
      </c>
      <c r="L72" s="3" t="s">
        <v>261</v>
      </c>
    </row>
    <row r="73" spans="1:18" x14ac:dyDescent="0.25">
      <c r="A73" s="62">
        <f>IF(E73="","",COUNTA($E$6:E73))</f>
        <v>56</v>
      </c>
      <c r="B73" s="101"/>
      <c r="C73" s="101"/>
      <c r="D73" s="60" t="s">
        <v>331</v>
      </c>
      <c r="E73" s="80" t="s">
        <v>78</v>
      </c>
      <c r="F73" s="31">
        <v>4637</v>
      </c>
      <c r="G73" s="71">
        <f>IFERROR(VLOOKUP(E73, 'DS- Title'!$A:$B, 2, 0), "")</f>
        <v>0</v>
      </c>
      <c r="H73" s="3">
        <v>14.1</v>
      </c>
      <c r="I73" s="3">
        <v>17</v>
      </c>
      <c r="J73" s="2"/>
      <c r="K73" s="3" t="s">
        <v>192</v>
      </c>
      <c r="L73" s="3" t="s">
        <v>261</v>
      </c>
    </row>
    <row r="74" spans="1:18" x14ac:dyDescent="0.25">
      <c r="A74" s="62">
        <f>IF(E74="","",COUNTA($E$6:E74))</f>
        <v>57</v>
      </c>
      <c r="B74" s="101"/>
      <c r="C74" s="101"/>
      <c r="D74" s="60" t="s">
        <v>331</v>
      </c>
      <c r="E74" s="80" t="s">
        <v>74</v>
      </c>
      <c r="F74" s="31">
        <v>790079</v>
      </c>
      <c r="G74" s="71">
        <f>IFERROR(VLOOKUP(E74, 'DS- Title'!$A:$B, 2, 0), "")</f>
        <v>0</v>
      </c>
      <c r="H74" s="3">
        <v>18.600000000000001</v>
      </c>
      <c r="I74" s="3">
        <v>23</v>
      </c>
      <c r="J74" s="2"/>
      <c r="K74" s="3" t="s">
        <v>74</v>
      </c>
      <c r="L74" s="3" t="s">
        <v>261</v>
      </c>
    </row>
    <row r="75" spans="1:18" x14ac:dyDescent="0.25">
      <c r="A75" s="9" t="str">
        <f>IF(E75="","",COUNTA($E$6:E75))</f>
        <v/>
      </c>
      <c r="B75" s="7"/>
      <c r="C75" s="7"/>
      <c r="D75" s="7"/>
      <c r="E75" s="47"/>
      <c r="F75" s="48"/>
      <c r="G75" s="73" t="str">
        <f>IFERROR(VLOOKUP(E75, 'DS- Title'!$A:$B, 2, 0), "")</f>
        <v/>
      </c>
      <c r="H75" s="9"/>
      <c r="I75" s="9"/>
      <c r="J75" s="5"/>
      <c r="K75" s="9"/>
      <c r="L75" s="9" t="s">
        <v>267</v>
      </c>
    </row>
    <row r="76" spans="1:18" x14ac:dyDescent="0.25">
      <c r="A76" s="62">
        <f>IF(E76="","",COUNTA($E$6:E76))</f>
        <v>58</v>
      </c>
      <c r="B76" s="101">
        <v>14</v>
      </c>
      <c r="C76" s="101" t="s">
        <v>299</v>
      </c>
      <c r="D76" s="60" t="s">
        <v>331</v>
      </c>
      <c r="E76" s="80" t="s">
        <v>71</v>
      </c>
      <c r="F76" s="51"/>
      <c r="G76" s="71">
        <f>IFERROR(VLOOKUP(E76, 'DS- Title'!$A:$B, 2, 0), "")</f>
        <v>0</v>
      </c>
      <c r="H76" s="3"/>
      <c r="I76" s="3"/>
      <c r="J76" s="2"/>
      <c r="K76" s="3"/>
      <c r="L76" s="3" t="s">
        <v>261</v>
      </c>
    </row>
    <row r="77" spans="1:18" x14ac:dyDescent="0.25">
      <c r="A77" s="62">
        <f>IF(E77="","",COUNTA($E$6:E77))</f>
        <v>59</v>
      </c>
      <c r="B77" s="101"/>
      <c r="C77" s="101"/>
      <c r="D77" s="60" t="s">
        <v>331</v>
      </c>
      <c r="E77" s="80" t="s">
        <v>82</v>
      </c>
      <c r="F77" s="31">
        <v>24259</v>
      </c>
      <c r="G77" s="71">
        <f>IFERROR(VLOOKUP(E77, 'DS- Title'!$A:$B, 2, 0), "")</f>
        <v>0</v>
      </c>
      <c r="H77" s="3">
        <v>8.1</v>
      </c>
      <c r="I77" s="3">
        <v>10</v>
      </c>
      <c r="J77" s="2"/>
      <c r="K77" s="3" t="s">
        <v>190</v>
      </c>
      <c r="L77" s="3" t="s">
        <v>261</v>
      </c>
      <c r="O77" s="14"/>
      <c r="P77" s="14"/>
      <c r="Q77" s="14"/>
      <c r="R77" s="14"/>
    </row>
    <row r="78" spans="1:18" x14ac:dyDescent="0.25">
      <c r="A78" s="62">
        <f>IF(E78="","",COUNTA($E$6:E78))</f>
        <v>60</v>
      </c>
      <c r="B78" s="101"/>
      <c r="C78" s="101"/>
      <c r="D78" s="60" t="s">
        <v>331</v>
      </c>
      <c r="E78" s="80" t="s">
        <v>84</v>
      </c>
      <c r="F78" s="31">
        <v>26393</v>
      </c>
      <c r="G78" s="71">
        <f>IFERROR(VLOOKUP(E78, 'DS- Title'!$A:$B, 2, 0), "")</f>
        <v>0</v>
      </c>
      <c r="H78" s="3">
        <v>16.399999999999999</v>
      </c>
      <c r="I78" s="3">
        <v>20</v>
      </c>
      <c r="J78" s="2"/>
      <c r="K78" s="16" t="s">
        <v>84</v>
      </c>
      <c r="L78" s="3" t="s">
        <v>261</v>
      </c>
    </row>
    <row r="79" spans="1:18" ht="15.75" customHeight="1" x14ac:dyDescent="0.25">
      <c r="A79" s="62">
        <f>IF(E79="","",COUNTA($E$6:E79))</f>
        <v>61</v>
      </c>
      <c r="B79" s="101"/>
      <c r="C79" s="101"/>
      <c r="D79" s="60" t="s">
        <v>331</v>
      </c>
      <c r="E79" s="80" t="s">
        <v>81</v>
      </c>
      <c r="F79" s="31">
        <v>9190</v>
      </c>
      <c r="G79" s="71">
        <f>IFERROR(VLOOKUP(E79, 'DS- Title'!$A:$B, 2, 0), "")</f>
        <v>0</v>
      </c>
      <c r="H79" s="3">
        <v>7.8</v>
      </c>
      <c r="I79" s="3">
        <v>9</v>
      </c>
      <c r="J79" s="2"/>
      <c r="K79" s="3" t="s">
        <v>81</v>
      </c>
      <c r="L79" s="3" t="s">
        <v>261</v>
      </c>
    </row>
    <row r="80" spans="1:18" x14ac:dyDescent="0.25">
      <c r="A80" s="9" t="str">
        <f>IF(E80="","",COUNTA($E$6:E80))</f>
        <v/>
      </c>
      <c r="B80" s="7"/>
      <c r="C80" s="7"/>
      <c r="D80" s="7"/>
      <c r="E80" s="47"/>
      <c r="F80" s="48"/>
      <c r="G80" s="73" t="str">
        <f>IFERROR(VLOOKUP(E80, 'DS- Title'!$A:$B, 2, 0), "")</f>
        <v/>
      </c>
      <c r="H80" s="9"/>
      <c r="I80" s="9"/>
      <c r="J80" s="5"/>
      <c r="K80" s="9"/>
      <c r="L80" s="9"/>
    </row>
    <row r="81" spans="1:19" x14ac:dyDescent="0.25">
      <c r="A81" s="62">
        <f>IF(E81="","",COUNTA($E$6:E81))</f>
        <v>62</v>
      </c>
      <c r="B81" s="101">
        <v>15</v>
      </c>
      <c r="C81" s="101" t="s">
        <v>297</v>
      </c>
      <c r="D81" s="60" t="s">
        <v>331</v>
      </c>
      <c r="E81" s="80" t="s">
        <v>80</v>
      </c>
      <c r="F81" s="31">
        <v>124235</v>
      </c>
      <c r="G81" s="71">
        <f>IFERROR(VLOOKUP(E81, 'DS- Title'!$A:$B, 2, 0), "")</f>
        <v>0</v>
      </c>
      <c r="H81" s="17">
        <v>17.5</v>
      </c>
      <c r="I81" s="17">
        <v>21</v>
      </c>
      <c r="J81" s="8"/>
      <c r="K81" s="17" t="s">
        <v>191</v>
      </c>
      <c r="L81" s="17" t="s">
        <v>261</v>
      </c>
      <c r="S81" s="14"/>
    </row>
    <row r="82" spans="1:19" x14ac:dyDescent="0.25">
      <c r="A82" s="62">
        <f>IF(E82="","",COUNTA($E$6:E82))</f>
        <v>63</v>
      </c>
      <c r="B82" s="101"/>
      <c r="C82" s="101"/>
      <c r="D82" s="60" t="s">
        <v>331</v>
      </c>
      <c r="E82" s="80" t="s">
        <v>79</v>
      </c>
      <c r="F82" s="31"/>
      <c r="G82" s="71">
        <f>IFERROR(VLOOKUP(E82, 'DS- Title'!$A:$B, 2, 0), "")</f>
        <v>0</v>
      </c>
      <c r="H82" s="17"/>
      <c r="I82" s="17"/>
      <c r="J82" s="8"/>
      <c r="K82" s="17"/>
      <c r="L82" s="17" t="s">
        <v>261</v>
      </c>
    </row>
    <row r="83" spans="1:19" x14ac:dyDescent="0.25">
      <c r="A83" s="62">
        <f>IF(E83="","",COUNTA($E$6:E83))</f>
        <v>64</v>
      </c>
      <c r="B83" s="101"/>
      <c r="C83" s="101"/>
      <c r="D83" s="60" t="s">
        <v>331</v>
      </c>
      <c r="E83" s="30" t="s">
        <v>73</v>
      </c>
      <c r="F83" s="31">
        <v>96450</v>
      </c>
      <c r="G83" s="71">
        <f>IFERROR(VLOOKUP(E83, 'DS- Title'!$A:$B, 2, 0), "")</f>
        <v>0</v>
      </c>
      <c r="H83" s="45">
        <v>12.7</v>
      </c>
      <c r="I83" s="45">
        <v>15</v>
      </c>
      <c r="J83" s="2"/>
      <c r="K83" s="45" t="s">
        <v>188</v>
      </c>
      <c r="L83" s="45" t="s">
        <v>261</v>
      </c>
    </row>
    <row r="84" spans="1:19" x14ac:dyDescent="0.25">
      <c r="A84" s="62">
        <f>IF(E84="","",COUNTA($E$6:E84))</f>
        <v>65</v>
      </c>
      <c r="B84" s="101"/>
      <c r="C84" s="101"/>
      <c r="D84" s="60" t="s">
        <v>331</v>
      </c>
      <c r="E84" s="30" t="s">
        <v>91</v>
      </c>
      <c r="F84" s="31">
        <v>54486</v>
      </c>
      <c r="G84" s="71">
        <f>IFERROR(VLOOKUP(E84, 'DS- Title'!$A:$B, 2, 0), "")</f>
        <v>0</v>
      </c>
      <c r="H84" s="17">
        <v>12.5</v>
      </c>
      <c r="I84" s="17">
        <v>15</v>
      </c>
      <c r="J84" s="8"/>
      <c r="K84" s="17" t="s">
        <v>186</v>
      </c>
      <c r="L84" s="17" t="s">
        <v>262</v>
      </c>
    </row>
    <row r="85" spans="1:19" x14ac:dyDescent="0.25">
      <c r="A85" s="9" t="str">
        <f>IF(E85="","",COUNTA($E$6:E85))</f>
        <v/>
      </c>
      <c r="B85" s="7"/>
      <c r="C85" s="7"/>
      <c r="D85" s="7"/>
      <c r="E85" s="47"/>
      <c r="F85" s="48"/>
      <c r="G85" s="73" t="str">
        <f>IFERROR(VLOOKUP(E85, 'DS- Title'!$A:$B, 2, 0), "")</f>
        <v/>
      </c>
      <c r="H85" s="9"/>
      <c r="I85" s="9"/>
      <c r="J85" s="5"/>
      <c r="K85" s="9"/>
      <c r="L85" s="9" t="s">
        <v>267</v>
      </c>
    </row>
    <row r="86" spans="1:19" x14ac:dyDescent="0.25">
      <c r="A86" s="62">
        <f>IF(E86="","",COUNTA($E$6:E86))</f>
        <v>66</v>
      </c>
      <c r="B86" s="101">
        <v>16</v>
      </c>
      <c r="C86" s="101" t="s">
        <v>404</v>
      </c>
      <c r="D86" s="60" t="s">
        <v>331</v>
      </c>
      <c r="E86" s="80" t="s">
        <v>77</v>
      </c>
      <c r="F86" s="31">
        <v>59765</v>
      </c>
      <c r="G86" s="71">
        <f>IFERROR(VLOOKUP(E86, 'DS- Title'!$A:$B, 2, 0), "")</f>
        <v>0</v>
      </c>
      <c r="H86" s="75">
        <v>11</v>
      </c>
      <c r="I86" s="3">
        <v>13</v>
      </c>
      <c r="J86" s="2"/>
      <c r="K86" s="3" t="s">
        <v>77</v>
      </c>
      <c r="L86" s="3" t="s">
        <v>261</v>
      </c>
    </row>
    <row r="87" spans="1:19" x14ac:dyDescent="0.25">
      <c r="A87" s="62">
        <f>IF(E87="","",COUNTA($E$6:E87))</f>
        <v>67</v>
      </c>
      <c r="B87" s="101"/>
      <c r="C87" s="101"/>
      <c r="D87" s="60" t="s">
        <v>331</v>
      </c>
      <c r="E87" s="80" t="s">
        <v>251</v>
      </c>
      <c r="F87" s="31"/>
      <c r="G87" s="71">
        <f>IFERROR(VLOOKUP(E87, 'DS- Title'!$A:$B, 2, 0), "")</f>
        <v>0</v>
      </c>
      <c r="H87" s="3"/>
      <c r="I87" s="3"/>
      <c r="J87" s="2"/>
      <c r="K87" s="3"/>
      <c r="L87" s="3" t="s">
        <v>261</v>
      </c>
    </row>
    <row r="88" spans="1:19" x14ac:dyDescent="0.25">
      <c r="A88" s="62">
        <f>IF(E88="","",COUNTA($E$6:E88))</f>
        <v>68</v>
      </c>
      <c r="B88" s="101"/>
      <c r="C88" s="101"/>
      <c r="D88" s="60" t="s">
        <v>331</v>
      </c>
      <c r="E88" s="80" t="s">
        <v>75</v>
      </c>
      <c r="F88" s="31">
        <v>832018</v>
      </c>
      <c r="G88" s="71">
        <f>IFERROR(VLOOKUP(E88, 'DS- Title'!$A:$B, 2, 0), "")</f>
        <v>0</v>
      </c>
      <c r="H88" s="3">
        <v>3.6</v>
      </c>
      <c r="I88" s="3">
        <v>4</v>
      </c>
      <c r="J88" s="2"/>
      <c r="K88" s="3" t="s">
        <v>193</v>
      </c>
      <c r="L88" s="3" t="s">
        <v>261</v>
      </c>
    </row>
    <row r="89" spans="1:19" x14ac:dyDescent="0.25">
      <c r="A89" s="62">
        <f>IF(E89="","",COUNTA($E$6:E89))</f>
        <v>69</v>
      </c>
      <c r="B89" s="101"/>
      <c r="C89" s="101"/>
      <c r="D89" s="60" t="s">
        <v>331</v>
      </c>
      <c r="E89" s="80" t="s">
        <v>250</v>
      </c>
      <c r="F89" s="31"/>
      <c r="G89" s="71">
        <f>IFERROR(VLOOKUP(E89, 'DS- Title'!$A:$B, 2, 0), "")</f>
        <v>0</v>
      </c>
      <c r="H89" s="3"/>
      <c r="I89" s="3"/>
      <c r="J89" s="2"/>
      <c r="K89" s="3"/>
      <c r="L89" s="3" t="s">
        <v>261</v>
      </c>
    </row>
    <row r="90" spans="1:19" x14ac:dyDescent="0.25">
      <c r="A90" s="9" t="str">
        <f>IF(E90="","",COUNTA($E$6:E90))</f>
        <v/>
      </c>
      <c r="B90" s="7"/>
      <c r="C90" s="7"/>
      <c r="D90" s="7"/>
      <c r="E90" s="47"/>
      <c r="F90" s="48"/>
      <c r="G90" s="73" t="str">
        <f>IFERROR(VLOOKUP(E90, 'DS- Title'!$A:$B, 2, 0), "")</f>
        <v/>
      </c>
      <c r="H90" s="9"/>
      <c r="I90" s="9"/>
      <c r="J90" s="5"/>
      <c r="K90" s="9"/>
      <c r="L90" s="9"/>
    </row>
    <row r="91" spans="1:19" x14ac:dyDescent="0.25">
      <c r="A91" s="62">
        <f>IF(E91="","",COUNTA($E$6:E91))</f>
        <v>70</v>
      </c>
      <c r="B91" s="101">
        <v>17</v>
      </c>
      <c r="C91" s="101" t="s">
        <v>289</v>
      </c>
      <c r="D91" s="60" t="s">
        <v>331</v>
      </c>
      <c r="E91" s="82" t="s">
        <v>70</v>
      </c>
      <c r="F91" s="54">
        <v>17981</v>
      </c>
      <c r="G91" s="71">
        <f>IFERROR(VLOOKUP(E91, 'DS- Title'!$A:$B, 2, 0), "")</f>
        <v>0</v>
      </c>
      <c r="H91" s="3">
        <v>14</v>
      </c>
      <c r="I91" s="3">
        <v>17</v>
      </c>
      <c r="J91" s="2"/>
      <c r="K91" s="3" t="s">
        <v>194</v>
      </c>
      <c r="L91" s="3" t="s">
        <v>269</v>
      </c>
    </row>
    <row r="92" spans="1:19" x14ac:dyDescent="0.25">
      <c r="A92" s="62">
        <f>IF(E92="","",COUNTA($E$6:E92))</f>
        <v>71</v>
      </c>
      <c r="B92" s="101"/>
      <c r="C92" s="101"/>
      <c r="D92" s="60" t="s">
        <v>331</v>
      </c>
      <c r="E92" s="80" t="s">
        <v>69</v>
      </c>
      <c r="F92" s="31">
        <v>69583</v>
      </c>
      <c r="G92" s="71" t="str">
        <f>IFERROR(VLOOKUP(E92, 'DS- Title'!$A:$B, 2, 0), "")</f>
        <v>Phó phòng CSGT Nghệ An</v>
      </c>
      <c r="H92" s="3">
        <v>15.3</v>
      </c>
      <c r="I92" s="3">
        <v>19</v>
      </c>
      <c r="J92" s="2"/>
      <c r="K92" s="3" t="s">
        <v>195</v>
      </c>
      <c r="L92" s="3" t="s">
        <v>269</v>
      </c>
    </row>
    <row r="93" spans="1:19" x14ac:dyDescent="0.25">
      <c r="A93" s="62">
        <f>IF(E93="","",COUNTA($E$6:E93))</f>
        <v>72</v>
      </c>
      <c r="B93" s="101"/>
      <c r="C93" s="101"/>
      <c r="D93" s="60" t="s">
        <v>331</v>
      </c>
      <c r="E93" s="80" t="s">
        <v>63</v>
      </c>
      <c r="F93" s="31">
        <v>10999</v>
      </c>
      <c r="G93" s="71" t="str">
        <f>IFERROR(VLOOKUP(E93, 'DS- Title'!$A:$B, 2, 0), "")</f>
        <v>Giám đốc điện chiếu sáng Hiền Hòa</v>
      </c>
      <c r="H93" s="3">
        <v>14.6</v>
      </c>
      <c r="I93" s="3">
        <v>18</v>
      </c>
      <c r="J93" s="2"/>
      <c r="K93" s="3" t="s">
        <v>196</v>
      </c>
      <c r="L93" s="3" t="s">
        <v>269</v>
      </c>
    </row>
    <row r="94" spans="1:19" x14ac:dyDescent="0.25">
      <c r="A94" s="62">
        <f>IF(E94="","",COUNTA($E$6:E94))</f>
        <v>73</v>
      </c>
      <c r="B94" s="101"/>
      <c r="C94" s="101"/>
      <c r="D94" s="60" t="s">
        <v>331</v>
      </c>
      <c r="E94" s="80" t="s">
        <v>62</v>
      </c>
      <c r="F94" s="31">
        <v>72689</v>
      </c>
      <c r="G94" s="71" t="str">
        <f>IFERROR(VLOOKUP(E94, 'DS- Title'!$A:$B, 2, 0), "")</f>
        <v>Giám đốc đốc cty Nam Phương Phát</v>
      </c>
      <c r="H94" s="3">
        <v>12.2</v>
      </c>
      <c r="I94" s="3">
        <v>15</v>
      </c>
      <c r="J94" s="2"/>
      <c r="K94" s="3" t="s">
        <v>197</v>
      </c>
      <c r="L94" s="3" t="s">
        <v>269</v>
      </c>
    </row>
    <row r="95" spans="1:19" x14ac:dyDescent="0.25">
      <c r="A95" s="62">
        <f>IF(E95="","",COUNTA($E$6:E95))</f>
        <v>74</v>
      </c>
      <c r="B95" s="101"/>
      <c r="C95" s="101"/>
      <c r="D95" s="60" t="s">
        <v>331</v>
      </c>
      <c r="E95" s="82" t="s">
        <v>50</v>
      </c>
      <c r="F95" s="54">
        <v>15011</v>
      </c>
      <c r="G95" s="71" t="str">
        <f>IFERROR(VLOOKUP(E95, 'DS- Title'!$A:$B, 2, 0), "")</f>
        <v>Phó tổng giám đốc Cienco5</v>
      </c>
      <c r="H95" s="16">
        <v>13</v>
      </c>
      <c r="I95" s="16">
        <v>16</v>
      </c>
      <c r="J95" s="2"/>
      <c r="K95" s="3" t="s">
        <v>50</v>
      </c>
      <c r="L95" s="3" t="s">
        <v>269</v>
      </c>
    </row>
    <row r="96" spans="1:19" x14ac:dyDescent="0.25">
      <c r="A96" s="9" t="str">
        <f>IF(E96="","",COUNTA($E$6:E96))</f>
        <v/>
      </c>
      <c r="B96" s="37"/>
      <c r="C96" s="7"/>
      <c r="D96" s="7"/>
      <c r="E96" s="49"/>
      <c r="F96" s="50"/>
      <c r="G96" s="73" t="str">
        <f>IFERROR(VLOOKUP(E96, 'DS- Title'!$A:$B, 2, 0), "")</f>
        <v/>
      </c>
      <c r="H96" s="37"/>
      <c r="I96" s="37"/>
      <c r="J96" s="5"/>
      <c r="K96" s="9"/>
      <c r="L96" s="9"/>
    </row>
    <row r="97" spans="1:20" x14ac:dyDescent="0.25">
      <c r="A97" s="62">
        <f>IF(E97="","",COUNTA($E$6:E97))</f>
        <v>75</v>
      </c>
      <c r="B97" s="101">
        <v>18</v>
      </c>
      <c r="C97" s="101" t="s">
        <v>284</v>
      </c>
      <c r="D97" s="60" t="s">
        <v>331</v>
      </c>
      <c r="E97" s="80" t="s">
        <v>68</v>
      </c>
      <c r="F97" s="31">
        <v>44390</v>
      </c>
      <c r="G97" s="71">
        <f>IFERROR(VLOOKUP(E97, 'DS- Title'!$A:$B, 2, 0), "")</f>
        <v>0</v>
      </c>
      <c r="H97" s="3">
        <v>5.4</v>
      </c>
      <c r="I97" s="3">
        <v>7</v>
      </c>
      <c r="J97" s="2"/>
      <c r="K97" s="3" t="s">
        <v>198</v>
      </c>
      <c r="L97" s="3" t="s">
        <v>269</v>
      </c>
      <c r="T97" s="14"/>
    </row>
    <row r="98" spans="1:20" x14ac:dyDescent="0.25">
      <c r="A98" s="62">
        <f>IF(E98="","",COUNTA($E$6:E98))</f>
        <v>76</v>
      </c>
      <c r="B98" s="101"/>
      <c r="C98" s="101"/>
      <c r="D98" s="60" t="s">
        <v>331</v>
      </c>
      <c r="E98" s="80" t="s">
        <v>236</v>
      </c>
      <c r="F98" s="54"/>
      <c r="G98" s="71">
        <f>IFERROR(VLOOKUP(E98, 'DS- Title'!$A:$B, 2, 0), "")</f>
        <v>0</v>
      </c>
      <c r="H98" s="44"/>
      <c r="I98" s="44"/>
      <c r="J98" s="2"/>
      <c r="K98" s="44"/>
      <c r="L98" s="44" t="s">
        <v>271</v>
      </c>
      <c r="T98" s="14"/>
    </row>
    <row r="99" spans="1:20" x14ac:dyDescent="0.25">
      <c r="A99" s="62">
        <f>IF(E99="","",COUNTA($E$6:E99))</f>
        <v>77</v>
      </c>
      <c r="B99" s="101"/>
      <c r="C99" s="101"/>
      <c r="D99" s="60" t="s">
        <v>331</v>
      </c>
      <c r="E99" s="80" t="s">
        <v>64</v>
      </c>
      <c r="F99" s="31">
        <v>97999</v>
      </c>
      <c r="G99" s="71">
        <f>IFERROR(VLOOKUP(E99, 'DS- Title'!$A:$B, 2, 0), "")</f>
        <v>0</v>
      </c>
      <c r="H99" s="3">
        <v>16.2</v>
      </c>
      <c r="I99" s="3">
        <v>20</v>
      </c>
      <c r="J99" s="2"/>
      <c r="K99" s="3" t="s">
        <v>219</v>
      </c>
      <c r="L99" s="3" t="s">
        <v>269</v>
      </c>
    </row>
    <row r="100" spans="1:20" x14ac:dyDescent="0.25">
      <c r="A100" s="62">
        <f>IF(E100="","",COUNTA($E$6:E100))</f>
        <v>78</v>
      </c>
      <c r="B100" s="101"/>
      <c r="C100" s="101"/>
      <c r="D100" s="60" t="s">
        <v>331</v>
      </c>
      <c r="E100" s="80" t="s">
        <v>56</v>
      </c>
      <c r="F100" s="31">
        <v>63412</v>
      </c>
      <c r="G100" s="71" t="str">
        <f>IFERROR(VLOOKUP(E100, 'DS- Title'!$A:$B, 2, 0), "")</f>
        <v>Chánh thanh tra Nghệ An</v>
      </c>
      <c r="H100" s="3">
        <v>9.1</v>
      </c>
      <c r="I100" s="3">
        <v>11</v>
      </c>
      <c r="J100" s="2"/>
      <c r="K100" s="3" t="s">
        <v>199</v>
      </c>
      <c r="L100" s="3" t="s">
        <v>269</v>
      </c>
    </row>
    <row r="101" spans="1:20" x14ac:dyDescent="0.25">
      <c r="A101" s="62">
        <f>IF(E101="","",COUNTA($E$6:E101))</f>
        <v>79</v>
      </c>
      <c r="B101" s="101"/>
      <c r="C101" s="101"/>
      <c r="D101" s="60" t="s">
        <v>331</v>
      </c>
      <c r="E101" s="80" t="s">
        <v>55</v>
      </c>
      <c r="F101" s="31">
        <v>568686</v>
      </c>
      <c r="G101" s="71" t="str">
        <f>IFERROR(VLOOKUP(E101, 'DS- Title'!$A:$B, 2, 0), "")</f>
        <v>Doanh nghiệp</v>
      </c>
      <c r="H101" s="3">
        <v>9.1999999999999993</v>
      </c>
      <c r="I101" s="3">
        <v>11</v>
      </c>
      <c r="J101" s="2"/>
      <c r="K101" s="3" t="s">
        <v>200</v>
      </c>
      <c r="L101" s="3" t="s">
        <v>269</v>
      </c>
    </row>
    <row r="102" spans="1:20" x14ac:dyDescent="0.25">
      <c r="A102" s="9" t="str">
        <f>IF(E102="","",COUNTA($E$6:E102))</f>
        <v/>
      </c>
      <c r="B102" s="7"/>
      <c r="C102" s="7"/>
      <c r="D102" s="7"/>
      <c r="E102" s="47"/>
      <c r="F102" s="48"/>
      <c r="G102" s="73" t="str">
        <f>IFERROR(VLOOKUP(E102, 'DS- Title'!$A:$B, 2, 0), "")</f>
        <v/>
      </c>
      <c r="H102" s="9"/>
      <c r="I102" s="9"/>
      <c r="J102" s="5"/>
      <c r="K102" s="9"/>
      <c r="L102" s="9"/>
    </row>
    <row r="103" spans="1:20" x14ac:dyDescent="0.25">
      <c r="A103" s="62">
        <f>IF(E103="","",COUNTA($E$6:E103))</f>
        <v>80</v>
      </c>
      <c r="B103" s="101">
        <v>19</v>
      </c>
      <c r="C103" s="101" t="s">
        <v>283</v>
      </c>
      <c r="D103" s="60" t="s">
        <v>331</v>
      </c>
      <c r="E103" s="80" t="s">
        <v>66</v>
      </c>
      <c r="F103" s="31">
        <v>64393</v>
      </c>
      <c r="G103" s="71" t="str">
        <f>IFERROR(VLOOKUP(E103, 'DS- Title'!$A:$B, 2, 0), "")</f>
        <v>Giám đốc BV 115</v>
      </c>
      <c r="H103" s="3">
        <v>12.9</v>
      </c>
      <c r="I103" s="3">
        <v>16</v>
      </c>
      <c r="J103" s="2"/>
      <c r="K103" s="3" t="s">
        <v>221</v>
      </c>
      <c r="L103" s="3" t="s">
        <v>269</v>
      </c>
    </row>
    <row r="104" spans="1:20" x14ac:dyDescent="0.25">
      <c r="A104" s="62">
        <f>IF(E104="","",COUNTA($E$6:E104))</f>
        <v>81</v>
      </c>
      <c r="B104" s="101"/>
      <c r="C104" s="101"/>
      <c r="D104" s="60" t="s">
        <v>331</v>
      </c>
      <c r="E104" s="80" t="s">
        <v>52</v>
      </c>
      <c r="F104" s="31">
        <v>66869</v>
      </c>
      <c r="G104" s="71" t="str">
        <f>IFERROR(VLOOKUP(E104, 'DS- Title'!$A:$B, 2, 0), "")</f>
        <v>Giám đốc</v>
      </c>
      <c r="H104" s="3">
        <v>15.5</v>
      </c>
      <c r="I104" s="3">
        <v>19</v>
      </c>
      <c r="J104" s="2"/>
      <c r="K104" s="3" t="s">
        <v>201</v>
      </c>
      <c r="L104" s="3" t="s">
        <v>269</v>
      </c>
    </row>
    <row r="105" spans="1:20" x14ac:dyDescent="0.25">
      <c r="A105" s="62">
        <f>IF(E105="","",COUNTA($E$6:E105))</f>
        <v>82</v>
      </c>
      <c r="B105" s="101"/>
      <c r="C105" s="101"/>
      <c r="D105" s="60" t="s">
        <v>331</v>
      </c>
      <c r="E105" s="80" t="s">
        <v>51</v>
      </c>
      <c r="F105" s="51">
        <v>79679</v>
      </c>
      <c r="G105" s="71" t="str">
        <f>IFERROR(VLOOKUP(E105, 'DS- Title'!$A:$B, 2, 0), "")</f>
        <v>Chủ tịch Hội Golf Nghệ An</v>
      </c>
      <c r="H105" s="3">
        <v>14.2</v>
      </c>
      <c r="I105" s="3">
        <v>17</v>
      </c>
      <c r="J105" s="2"/>
      <c r="K105" s="3" t="s">
        <v>51</v>
      </c>
      <c r="L105" s="3" t="s">
        <v>269</v>
      </c>
    </row>
    <row r="106" spans="1:20" x14ac:dyDescent="0.25">
      <c r="A106" s="62">
        <f>IF(E106="","",COUNTA($E$6:E106))</f>
        <v>83</v>
      </c>
      <c r="B106" s="101"/>
      <c r="C106" s="101"/>
      <c r="D106" s="60" t="s">
        <v>331</v>
      </c>
      <c r="E106" s="30" t="s">
        <v>280</v>
      </c>
      <c r="F106" s="51">
        <v>16676</v>
      </c>
      <c r="G106" s="71" t="str">
        <f>IFERROR(VLOOKUP(E106, 'DS- Title'!$A:$B, 2, 0), "")</f>
        <v>Giám đốc BV mắt NA</v>
      </c>
      <c r="H106" s="46"/>
      <c r="I106" s="46"/>
      <c r="J106" s="2"/>
      <c r="K106" s="46"/>
      <c r="L106" s="46"/>
    </row>
    <row r="107" spans="1:20" x14ac:dyDescent="0.25">
      <c r="A107" s="62">
        <f>IF(E107="","",COUNTA($E$6:E107))</f>
        <v>84</v>
      </c>
      <c r="B107" s="101"/>
      <c r="C107" s="101"/>
      <c r="D107" s="60" t="s">
        <v>331</v>
      </c>
      <c r="E107" s="80" t="s">
        <v>65</v>
      </c>
      <c r="F107" s="31">
        <v>19528</v>
      </c>
      <c r="G107" s="71">
        <f>IFERROR(VLOOKUP(E107, 'DS- Title'!$A:$B, 2, 0), "")</f>
        <v>0</v>
      </c>
      <c r="H107" s="3">
        <v>10.6</v>
      </c>
      <c r="I107" s="3">
        <v>13</v>
      </c>
      <c r="J107" s="2"/>
      <c r="K107" s="3" t="s">
        <v>220</v>
      </c>
      <c r="L107" s="3" t="s">
        <v>269</v>
      </c>
    </row>
    <row r="108" spans="1:20" x14ac:dyDescent="0.25">
      <c r="A108" s="9" t="str">
        <f>IF(E108="","",COUNTA($E$6:E108))</f>
        <v/>
      </c>
      <c r="B108" s="7"/>
      <c r="C108" s="7"/>
      <c r="D108" s="7"/>
      <c r="E108" s="47"/>
      <c r="F108" s="48"/>
      <c r="G108" s="73" t="str">
        <f>IFERROR(VLOOKUP(E108, 'DS- Title'!$A:$B, 2, 0), "")</f>
        <v/>
      </c>
      <c r="H108" s="9"/>
      <c r="I108" s="9"/>
      <c r="J108" s="5"/>
      <c r="K108" s="9"/>
      <c r="L108" s="9"/>
    </row>
    <row r="109" spans="1:20" x14ac:dyDescent="0.25">
      <c r="A109" s="62">
        <f>IF(E109="","",COUNTA($E$6:E109))</f>
        <v>85</v>
      </c>
      <c r="B109" s="101">
        <v>20</v>
      </c>
      <c r="C109" s="101" t="s">
        <v>292</v>
      </c>
      <c r="D109" s="60" t="s">
        <v>331</v>
      </c>
      <c r="E109" s="80" t="s">
        <v>60</v>
      </c>
      <c r="F109" s="31">
        <v>7991</v>
      </c>
      <c r="G109" s="71" t="str">
        <f>IFERROR(VLOOKUP(E109, 'DS- Title'!$A:$B, 2, 0), "")</f>
        <v>Giám đốc cty thiết kế</v>
      </c>
      <c r="H109" s="3">
        <v>17.8</v>
      </c>
      <c r="I109" s="3">
        <v>22</v>
      </c>
      <c r="J109" s="2"/>
      <c r="K109" s="3" t="s">
        <v>60</v>
      </c>
      <c r="L109" s="3" t="s">
        <v>269</v>
      </c>
    </row>
    <row r="110" spans="1:20" x14ac:dyDescent="0.25">
      <c r="A110" s="62">
        <f>IF(E110="","",COUNTA($E$6:E110))</f>
        <v>86</v>
      </c>
      <c r="B110" s="101"/>
      <c r="C110" s="101"/>
      <c r="D110" s="60" t="s">
        <v>331</v>
      </c>
      <c r="E110" s="80" t="s">
        <v>59</v>
      </c>
      <c r="F110" s="31">
        <v>585585</v>
      </c>
      <c r="G110" s="71" t="str">
        <f>IFERROR(VLOOKUP(E110, 'DS- Title'!$A:$B, 2, 0), "")</f>
        <v>Giám đốc cty Bình Minh</v>
      </c>
      <c r="H110" s="3">
        <v>16.399999999999999</v>
      </c>
      <c r="I110" s="3">
        <v>20</v>
      </c>
      <c r="J110" s="2"/>
      <c r="K110" s="3" t="s">
        <v>59</v>
      </c>
      <c r="L110" s="3" t="s">
        <v>269</v>
      </c>
    </row>
    <row r="111" spans="1:20" x14ac:dyDescent="0.25">
      <c r="A111" s="62">
        <f>IF(E111="","",COUNTA($E$6:E111))</f>
        <v>87</v>
      </c>
      <c r="B111" s="101"/>
      <c r="C111" s="101"/>
      <c r="D111" s="60" t="s">
        <v>331</v>
      </c>
      <c r="E111" s="80" t="s">
        <v>58</v>
      </c>
      <c r="F111" s="31">
        <v>52918</v>
      </c>
      <c r="G111" s="71" t="str">
        <f>IFERROR(VLOOKUP(E111, 'DS- Title'!$A:$B, 2, 0), "")</f>
        <v>Vụ trưởng, Tky CT UBMTTQVN</v>
      </c>
      <c r="H111" s="3">
        <v>16.2</v>
      </c>
      <c r="I111" s="3">
        <v>20</v>
      </c>
      <c r="J111" s="2"/>
      <c r="K111" s="3" t="s">
        <v>203</v>
      </c>
      <c r="L111" s="3" t="s">
        <v>269</v>
      </c>
    </row>
    <row r="112" spans="1:20" x14ac:dyDescent="0.25">
      <c r="A112" s="62">
        <f>IF(E112="","",COUNTA($E$6:E112))</f>
        <v>88</v>
      </c>
      <c r="B112" s="101"/>
      <c r="C112" s="101"/>
      <c r="D112" s="60" t="s">
        <v>331</v>
      </c>
      <c r="E112" s="80" t="s">
        <v>57</v>
      </c>
      <c r="F112" s="31">
        <v>16306</v>
      </c>
      <c r="G112" s="71" t="str">
        <f>IFERROR(VLOOKUP(E112, 'DS- Title'!$A:$B, 2, 0), "")</f>
        <v>Bí thư xã Hợp Minh</v>
      </c>
      <c r="H112" s="3">
        <v>20</v>
      </c>
      <c r="I112" s="3">
        <v>24</v>
      </c>
      <c r="J112" s="2"/>
      <c r="K112" s="3" t="s">
        <v>222</v>
      </c>
      <c r="L112" s="3" t="s">
        <v>269</v>
      </c>
    </row>
    <row r="113" spans="1:12" x14ac:dyDescent="0.25">
      <c r="A113" s="62">
        <f>IF(E113="","",COUNTA($E$6:E113))</f>
        <v>89</v>
      </c>
      <c r="B113" s="101"/>
      <c r="C113" s="101"/>
      <c r="D113" s="60" t="s">
        <v>331</v>
      </c>
      <c r="E113" s="30" t="s">
        <v>155</v>
      </c>
      <c r="F113" s="31">
        <v>22807</v>
      </c>
      <c r="G113" s="71" t="str">
        <f>IFERROR(VLOOKUP(E113, 'DS- Title'!$A:$B, 2, 0), "")</f>
        <v>PGĐ Sở XD tỉnh Nghệ An</v>
      </c>
      <c r="H113" s="3">
        <v>18.399999999999999</v>
      </c>
      <c r="I113" s="3">
        <v>22</v>
      </c>
      <c r="J113" s="2"/>
      <c r="K113" s="3" t="s">
        <v>204</v>
      </c>
      <c r="L113" s="3" t="s">
        <v>269</v>
      </c>
    </row>
    <row r="114" spans="1:12" x14ac:dyDescent="0.25">
      <c r="A114" s="9" t="str">
        <f>IF(E114="","",COUNTA($E$6:E114))</f>
        <v/>
      </c>
      <c r="B114" s="7"/>
      <c r="C114" s="7"/>
      <c r="D114" s="7"/>
      <c r="E114" s="47"/>
      <c r="F114" s="48"/>
      <c r="G114" s="73" t="str">
        <f>IFERROR(VLOOKUP(E114, 'DS- Title'!$A:$B, 2, 0), "")</f>
        <v/>
      </c>
      <c r="H114" s="9"/>
      <c r="I114" s="9"/>
      <c r="J114" s="5"/>
      <c r="K114" s="9"/>
      <c r="L114" s="9"/>
    </row>
    <row r="115" spans="1:12" x14ac:dyDescent="0.25">
      <c r="A115" s="62">
        <f>IF(E115="","",COUNTA($E$6:E115))</f>
        <v>90</v>
      </c>
      <c r="B115" s="101">
        <v>21</v>
      </c>
      <c r="C115" s="101" t="s">
        <v>294</v>
      </c>
      <c r="D115" s="60" t="s">
        <v>331</v>
      </c>
      <c r="E115" s="79" t="s">
        <v>140</v>
      </c>
      <c r="F115" s="51">
        <v>108789</v>
      </c>
      <c r="G115" s="71" t="str">
        <f>IFERROR(VLOOKUP(E115, 'DS- Title'!$A:$B, 2, 0), "")</f>
        <v>Giám đốc trung tâm</v>
      </c>
      <c r="H115" s="3">
        <v>20.2</v>
      </c>
      <c r="I115" s="3">
        <v>24</v>
      </c>
      <c r="J115" s="2"/>
      <c r="K115" s="3" t="s">
        <v>205</v>
      </c>
      <c r="L115" s="3" t="s">
        <v>269</v>
      </c>
    </row>
    <row r="116" spans="1:12" x14ac:dyDescent="0.25">
      <c r="A116" s="62">
        <f>IF(E116="","",COUNTA($E$6:E116))</f>
        <v>91</v>
      </c>
      <c r="B116" s="101"/>
      <c r="C116" s="101"/>
      <c r="D116" s="60" t="s">
        <v>331</v>
      </c>
      <c r="E116" s="79" t="s">
        <v>141</v>
      </c>
      <c r="F116" s="51">
        <v>91147</v>
      </c>
      <c r="G116" s="71" t="str">
        <f>IFERROR(VLOOKUP(E116, 'DS- Title'!$A:$B, 2, 0), "")</f>
        <v>Trưởng phòng giá</v>
      </c>
      <c r="H116" s="3">
        <v>21.8</v>
      </c>
      <c r="I116" s="3">
        <v>26</v>
      </c>
      <c r="J116" s="2"/>
      <c r="K116" s="3" t="s">
        <v>206</v>
      </c>
      <c r="L116" s="3" t="s">
        <v>269</v>
      </c>
    </row>
    <row r="117" spans="1:12" x14ac:dyDescent="0.25">
      <c r="A117" s="62">
        <f>IF(E117="","",COUNTA($E$6:E117))</f>
        <v>92</v>
      </c>
      <c r="B117" s="101"/>
      <c r="C117" s="101"/>
      <c r="D117" s="60" t="s">
        <v>331</v>
      </c>
      <c r="E117" s="79" t="s">
        <v>254</v>
      </c>
      <c r="F117" s="51">
        <v>105198</v>
      </c>
      <c r="G117" s="71" t="str">
        <f>IFERROR(VLOOKUP(E117, 'DS- Title'!$A:$B, 2, 0), "")</f>
        <v>Sở nông nghiệp mội trường</v>
      </c>
      <c r="H117" s="3">
        <v>17.7</v>
      </c>
      <c r="I117" s="3">
        <v>21</v>
      </c>
      <c r="J117" s="2"/>
      <c r="K117" s="3" t="s">
        <v>207</v>
      </c>
      <c r="L117" s="3" t="s">
        <v>269</v>
      </c>
    </row>
    <row r="118" spans="1:12" x14ac:dyDescent="0.25">
      <c r="A118" s="62">
        <f>IF(E118="","",COUNTA($E$6:E118))</f>
        <v>93</v>
      </c>
      <c r="B118" s="101"/>
      <c r="C118" s="101"/>
      <c r="D118" s="60" t="s">
        <v>331</v>
      </c>
      <c r="E118" s="79" t="s">
        <v>142</v>
      </c>
      <c r="F118" s="51"/>
      <c r="G118" s="71" t="str">
        <f>IFERROR(VLOOKUP(E118, 'DS- Title'!$A:$B, 2, 0), "")</f>
        <v>Sở nông nghiệp mội trường</v>
      </c>
      <c r="H118" s="3"/>
      <c r="I118" s="3"/>
      <c r="J118" s="2"/>
      <c r="K118" s="3"/>
      <c r="L118" s="3" t="s">
        <v>269</v>
      </c>
    </row>
    <row r="119" spans="1:12" x14ac:dyDescent="0.25">
      <c r="A119" s="62">
        <f>IF(E119="","",COUNTA($E$6:E119))</f>
        <v>94</v>
      </c>
      <c r="B119" s="101"/>
      <c r="C119" s="101"/>
      <c r="D119" s="60" t="s">
        <v>331</v>
      </c>
      <c r="E119" s="79" t="s">
        <v>255</v>
      </c>
      <c r="F119" s="51">
        <v>112190</v>
      </c>
      <c r="G119" s="71" t="str">
        <f>IFERROR(VLOOKUP(E119, 'DS- Title'!$A:$B, 2, 0), "")</f>
        <v>Sở nông nghiệp mội trường</v>
      </c>
      <c r="H119" s="3"/>
      <c r="I119" s="3"/>
      <c r="J119" s="2"/>
      <c r="K119" s="3"/>
      <c r="L119" s="3" t="s">
        <v>269</v>
      </c>
    </row>
    <row r="120" spans="1:12" x14ac:dyDescent="0.25">
      <c r="A120" s="9" t="str">
        <f>IF(E120="","",COUNTA($E$6:E120))</f>
        <v/>
      </c>
      <c r="B120" s="7"/>
      <c r="C120" s="7"/>
      <c r="D120" s="7"/>
      <c r="E120" s="47"/>
      <c r="F120" s="48"/>
      <c r="G120" s="73" t="str">
        <f>IFERROR(VLOOKUP(E120, 'DS- Title'!$A:$B, 2, 0), "")</f>
        <v/>
      </c>
      <c r="H120" s="9"/>
      <c r="I120" s="9"/>
      <c r="J120" s="5"/>
      <c r="K120" s="9"/>
      <c r="L120" s="9"/>
    </row>
    <row r="121" spans="1:12" x14ac:dyDescent="0.25">
      <c r="A121" s="62">
        <f>IF(E121="","",COUNTA($E$6:E121))</f>
        <v>95</v>
      </c>
      <c r="B121" s="101">
        <v>22</v>
      </c>
      <c r="C121" s="101" t="s">
        <v>293</v>
      </c>
      <c r="D121" s="60" t="s">
        <v>331</v>
      </c>
      <c r="E121" s="30" t="s">
        <v>128</v>
      </c>
      <c r="F121" s="54"/>
      <c r="G121" s="71">
        <f>IFERROR(VLOOKUP(E121, 'DS- Title'!$A:$B, 2, 0), "")</f>
        <v>0</v>
      </c>
      <c r="H121" s="3"/>
      <c r="I121" s="3"/>
      <c r="J121" s="2"/>
      <c r="K121" s="3"/>
      <c r="L121" s="3" t="s">
        <v>270</v>
      </c>
    </row>
    <row r="122" spans="1:12" x14ac:dyDescent="0.25">
      <c r="A122" s="62">
        <f>IF(E122="","",COUNTA($E$6:E122))</f>
        <v>96</v>
      </c>
      <c r="B122" s="101"/>
      <c r="C122" s="101"/>
      <c r="D122" s="60" t="s">
        <v>333</v>
      </c>
      <c r="E122" s="80" t="s">
        <v>129</v>
      </c>
      <c r="F122" s="56">
        <v>113102</v>
      </c>
      <c r="G122" s="71">
        <f>IFERROR(VLOOKUP(E122, 'DS- Title'!$A:$B, 2, 0), "")</f>
        <v>0</v>
      </c>
      <c r="H122" s="44">
        <v>18.899999999999999</v>
      </c>
      <c r="I122" s="44">
        <v>21</v>
      </c>
      <c r="J122" s="2"/>
      <c r="K122" s="44" t="s">
        <v>181</v>
      </c>
      <c r="L122" s="3"/>
    </row>
    <row r="123" spans="1:12" x14ac:dyDescent="0.25">
      <c r="A123" s="62">
        <f>IF(E123="","",COUNTA($E$6:E123))</f>
        <v>97</v>
      </c>
      <c r="B123" s="101"/>
      <c r="C123" s="101"/>
      <c r="D123" s="60" t="s">
        <v>331</v>
      </c>
      <c r="E123" s="30" t="s">
        <v>13</v>
      </c>
      <c r="F123" s="31">
        <v>89177</v>
      </c>
      <c r="G123" s="71">
        <f>IFERROR(VLOOKUP(E123, 'DS- Title'!$A:$B, 2, 0), "")</f>
        <v>0</v>
      </c>
      <c r="H123" s="3">
        <v>13.6</v>
      </c>
      <c r="I123" s="3">
        <v>16</v>
      </c>
      <c r="J123" s="2"/>
      <c r="K123" s="3" t="s">
        <v>208</v>
      </c>
      <c r="L123" s="3" t="s">
        <v>272</v>
      </c>
    </row>
    <row r="124" spans="1:12" x14ac:dyDescent="0.25">
      <c r="A124" s="62">
        <f>IF(E124="","",COUNTA($E$6:E124))</f>
        <v>98</v>
      </c>
      <c r="B124" s="101"/>
      <c r="C124" s="101"/>
      <c r="D124" s="60" t="s">
        <v>331</v>
      </c>
      <c r="E124" s="80" t="s">
        <v>106</v>
      </c>
      <c r="F124" s="31">
        <v>244213</v>
      </c>
      <c r="G124" s="71">
        <f>IFERROR(VLOOKUP(E124, 'DS- Title'!$A:$B, 2, 0), "")</f>
        <v>0</v>
      </c>
      <c r="H124" s="44">
        <v>23.2</v>
      </c>
      <c r="I124" s="44">
        <v>26</v>
      </c>
      <c r="J124" s="2"/>
      <c r="K124" s="44" t="s">
        <v>177</v>
      </c>
      <c r="L124" s="3"/>
    </row>
    <row r="125" spans="1:12" x14ac:dyDescent="0.25">
      <c r="A125" s="9" t="str">
        <f>IF(E125="","",COUNTA($E$6:E125))</f>
        <v/>
      </c>
      <c r="B125" s="7"/>
      <c r="C125" s="7"/>
      <c r="D125" s="7"/>
      <c r="E125" s="47"/>
      <c r="F125" s="48"/>
      <c r="G125" s="73" t="str">
        <f>IFERROR(VLOOKUP(E125, 'DS- Title'!$A:$B, 2, 0), "")</f>
        <v/>
      </c>
      <c r="H125" s="9"/>
      <c r="I125" s="9"/>
      <c r="J125" s="5"/>
      <c r="K125" s="9"/>
      <c r="L125" s="9"/>
    </row>
    <row r="126" spans="1:12" x14ac:dyDescent="0.25">
      <c r="A126" s="62">
        <f>IF(E126="","",COUNTA($E$6:E126))</f>
        <v>99</v>
      </c>
      <c r="B126" s="101">
        <v>23</v>
      </c>
      <c r="C126" s="101" t="s">
        <v>290</v>
      </c>
      <c r="D126" s="60" t="s">
        <v>331</v>
      </c>
      <c r="E126" s="80" t="s">
        <v>45</v>
      </c>
      <c r="F126" s="31">
        <v>1510</v>
      </c>
      <c r="G126" s="71">
        <f>IFERROR(VLOOKUP(E126, 'DS- Title'!$A:$B, 2, 0), "")</f>
        <v>0</v>
      </c>
      <c r="H126" s="3">
        <v>25.1</v>
      </c>
      <c r="I126" s="3">
        <v>30</v>
      </c>
      <c r="J126" s="2"/>
      <c r="K126" s="16" t="s">
        <v>45</v>
      </c>
      <c r="L126" s="16" t="s">
        <v>273</v>
      </c>
    </row>
    <row r="127" spans="1:12" x14ac:dyDescent="0.25">
      <c r="A127" s="62">
        <f>IF(E127="","",COUNTA($E$6:E127))</f>
        <v>100</v>
      </c>
      <c r="B127" s="101"/>
      <c r="C127" s="101"/>
      <c r="D127" s="60" t="s">
        <v>331</v>
      </c>
      <c r="E127" s="80" t="s">
        <v>44</v>
      </c>
      <c r="F127" s="31">
        <v>68</v>
      </c>
      <c r="G127" s="71">
        <f>IFERROR(VLOOKUP(E127, 'DS- Title'!$A:$B, 2, 0), "")</f>
        <v>0</v>
      </c>
      <c r="H127" s="3">
        <v>16.600000000000001</v>
      </c>
      <c r="I127" s="3">
        <v>20</v>
      </c>
      <c r="J127" s="2"/>
      <c r="K127" s="3" t="s">
        <v>210</v>
      </c>
      <c r="L127" s="3" t="s">
        <v>273</v>
      </c>
    </row>
    <row r="128" spans="1:12" x14ac:dyDescent="0.25">
      <c r="A128" s="62">
        <f>IF(E128="","",COUNTA($E$6:E128))</f>
        <v>101</v>
      </c>
      <c r="B128" s="101"/>
      <c r="C128" s="101"/>
      <c r="D128" s="60" t="s">
        <v>331</v>
      </c>
      <c r="E128" s="80" t="s">
        <v>43</v>
      </c>
      <c r="F128" s="31">
        <v>120852</v>
      </c>
      <c r="G128" s="71">
        <f>IFERROR(VLOOKUP(E128, 'DS- Title'!$A:$B, 2, 0), "")</f>
        <v>0</v>
      </c>
      <c r="H128" s="3">
        <v>17.2</v>
      </c>
      <c r="I128" s="3">
        <v>21</v>
      </c>
      <c r="J128" s="2"/>
      <c r="K128" s="16" t="s">
        <v>43</v>
      </c>
      <c r="L128" s="16" t="s">
        <v>274</v>
      </c>
    </row>
    <row r="129" spans="1:20" x14ac:dyDescent="0.25">
      <c r="A129" s="62">
        <f>IF(E129="","",COUNTA($E$6:E129))</f>
        <v>102</v>
      </c>
      <c r="B129" s="101"/>
      <c r="C129" s="101"/>
      <c r="D129" s="60" t="s">
        <v>331</v>
      </c>
      <c r="E129" s="80" t="s">
        <v>42</v>
      </c>
      <c r="F129" s="31">
        <v>682515</v>
      </c>
      <c r="G129" s="71">
        <f>IFERROR(VLOOKUP(E129, 'DS- Title'!$A:$B, 2, 0), "")</f>
        <v>0</v>
      </c>
      <c r="H129" s="3">
        <v>12.8</v>
      </c>
      <c r="I129" s="3">
        <v>16</v>
      </c>
      <c r="J129" s="2"/>
      <c r="K129" s="16" t="s">
        <v>42</v>
      </c>
      <c r="L129" s="16" t="s">
        <v>275</v>
      </c>
    </row>
    <row r="130" spans="1:20" x14ac:dyDescent="0.25">
      <c r="A130" s="9" t="str">
        <f>IF(E130="","",COUNTA($E$6:E130))</f>
        <v/>
      </c>
      <c r="B130" s="7"/>
      <c r="C130" s="7"/>
      <c r="D130" s="7"/>
      <c r="E130" s="47"/>
      <c r="F130" s="48"/>
      <c r="G130" s="73" t="str">
        <f>IFERROR(VLOOKUP(E130, 'DS- Title'!$A:$B, 2, 0), "")</f>
        <v/>
      </c>
      <c r="H130" s="9"/>
      <c r="I130" s="9"/>
      <c r="J130" s="5"/>
      <c r="K130" s="9"/>
      <c r="L130" s="9"/>
    </row>
    <row r="131" spans="1:20" x14ac:dyDescent="0.25">
      <c r="A131" s="62">
        <f>IF(E131="","",COUNTA($E$6:E131))</f>
        <v>103</v>
      </c>
      <c r="B131" s="101">
        <v>24</v>
      </c>
      <c r="C131" s="101" t="s">
        <v>291</v>
      </c>
      <c r="D131" s="60" t="s">
        <v>331</v>
      </c>
      <c r="E131" s="80" t="s">
        <v>41</v>
      </c>
      <c r="F131" s="31">
        <v>39316</v>
      </c>
      <c r="G131" s="71" t="str">
        <f>IFERROR(VLOOKUP(E131, 'DS- Title'!$A:$B, 2, 0), "")</f>
        <v>Giám đốc</v>
      </c>
      <c r="H131" s="3">
        <v>27.6</v>
      </c>
      <c r="I131" s="3">
        <v>33</v>
      </c>
      <c r="J131" s="2"/>
      <c r="K131" s="3" t="s">
        <v>223</v>
      </c>
      <c r="L131" s="3" t="s">
        <v>276</v>
      </c>
    </row>
    <row r="132" spans="1:20" x14ac:dyDescent="0.25">
      <c r="A132" s="62">
        <f>IF(E132="","",COUNTA($E$6:E132))</f>
        <v>104</v>
      </c>
      <c r="B132" s="101"/>
      <c r="C132" s="101"/>
      <c r="D132" s="60" t="s">
        <v>331</v>
      </c>
      <c r="E132" s="80" t="s">
        <v>40</v>
      </c>
      <c r="F132" s="31">
        <v>84241</v>
      </c>
      <c r="G132" s="71" t="str">
        <f>IFERROR(VLOOKUP(E132, 'DS- Title'!$A:$B, 2, 0), "")</f>
        <v>Giám đốc</v>
      </c>
      <c r="H132" s="3">
        <v>23.1</v>
      </c>
      <c r="I132" s="3">
        <v>28</v>
      </c>
      <c r="J132" s="2"/>
      <c r="K132" s="3" t="s">
        <v>224</v>
      </c>
      <c r="L132" s="3"/>
    </row>
    <row r="133" spans="1:20" x14ac:dyDescent="0.25">
      <c r="A133" s="62">
        <f>IF(E133="","",COUNTA($E$6:E133))</f>
        <v>105</v>
      </c>
      <c r="B133" s="101"/>
      <c r="C133" s="101"/>
      <c r="D133" s="60" t="s">
        <v>331</v>
      </c>
      <c r="E133" s="30" t="s">
        <v>39</v>
      </c>
      <c r="F133" s="31">
        <v>90170</v>
      </c>
      <c r="G133" s="71">
        <f>IFERROR(VLOOKUP(E133, 'DS- Title'!$A:$B, 2, 0), "")</f>
        <v>0</v>
      </c>
      <c r="H133" s="3">
        <v>23.1</v>
      </c>
      <c r="I133" s="3">
        <v>28</v>
      </c>
      <c r="J133" s="2"/>
      <c r="K133" s="3" t="s">
        <v>39</v>
      </c>
      <c r="L133" s="3"/>
    </row>
    <row r="134" spans="1:20" ht="41.4" x14ac:dyDescent="0.25">
      <c r="A134" s="62">
        <f>IF(E134="","",COUNTA($E$6:E134))</f>
        <v>106</v>
      </c>
      <c r="B134" s="101"/>
      <c r="C134" s="101"/>
      <c r="D134" s="60" t="s">
        <v>331</v>
      </c>
      <c r="E134" s="30" t="s">
        <v>149</v>
      </c>
      <c r="F134" s="31"/>
      <c r="G134" s="71" t="str">
        <f>IFERROR(VLOOKUP(E134, 'DS- Title'!$A:$B, 2, 0), "")</f>
        <v>Kiểm sát viên cao cấp, Vụ Công tố và Kiểm sát điều tra án kinh tế, tham nhũng- Viện Kiểm sát nhân dân tối cao</v>
      </c>
      <c r="H134" s="3"/>
      <c r="I134" s="3"/>
      <c r="J134" s="2"/>
      <c r="K134" s="3"/>
      <c r="L134" s="3"/>
    </row>
    <row r="135" spans="1:20" x14ac:dyDescent="0.25">
      <c r="A135" s="9" t="str">
        <f>IF(E135="","",COUNTA($E$6:E135))</f>
        <v/>
      </c>
      <c r="B135" s="7"/>
      <c r="C135" s="7"/>
      <c r="D135" s="7"/>
      <c r="E135" s="47"/>
      <c r="F135" s="48"/>
      <c r="G135" s="73" t="str">
        <f>IFERROR(VLOOKUP(E135, 'DS- Title'!$A:$B, 2, 0), "")</f>
        <v/>
      </c>
      <c r="H135" s="9"/>
      <c r="I135" s="9"/>
      <c r="J135" s="5"/>
      <c r="K135" s="9"/>
      <c r="L135" s="9"/>
    </row>
    <row r="136" spans="1:20" s="14" customFormat="1" x14ac:dyDescent="0.25">
      <c r="A136" s="17"/>
      <c r="B136" s="93">
        <v>25</v>
      </c>
      <c r="C136" s="90" t="s">
        <v>295</v>
      </c>
      <c r="D136" s="87"/>
      <c r="E136" s="52" t="s">
        <v>405</v>
      </c>
      <c r="F136" s="51">
        <v>101000</v>
      </c>
      <c r="G136" s="71"/>
      <c r="H136" s="17"/>
      <c r="I136" s="17"/>
      <c r="J136" s="8"/>
      <c r="K136" s="17"/>
      <c r="L136" s="17"/>
    </row>
    <row r="137" spans="1:20" s="14" customFormat="1" x14ac:dyDescent="0.25">
      <c r="A137" s="62">
        <f>IF(E137="","",COUNTA($E$6:E137))</f>
        <v>108</v>
      </c>
      <c r="B137" s="94"/>
      <c r="C137" s="91"/>
      <c r="D137" s="61" t="s">
        <v>331</v>
      </c>
      <c r="E137" s="80" t="s">
        <v>85</v>
      </c>
      <c r="F137" s="55"/>
      <c r="G137" s="71">
        <f>IFERROR(VLOOKUP(E137, 'DS- Title'!$A:$B, 2, 0), "")</f>
        <v>0</v>
      </c>
      <c r="H137" s="26"/>
      <c r="I137" s="26"/>
      <c r="J137" s="20"/>
      <c r="K137" s="20"/>
      <c r="L137" s="17"/>
      <c r="M137" s="1"/>
      <c r="N137" s="1"/>
      <c r="O137" s="1"/>
      <c r="P137" s="1"/>
      <c r="Q137" s="1"/>
      <c r="R137" s="1"/>
      <c r="S137" s="1"/>
      <c r="T137" s="1"/>
    </row>
    <row r="138" spans="1:20" x14ac:dyDescent="0.25">
      <c r="A138" s="62">
        <f>IF(E138="","",COUNTA($E$6:E138))</f>
        <v>109</v>
      </c>
      <c r="B138" s="94"/>
      <c r="C138" s="91"/>
      <c r="D138" s="61" t="s">
        <v>331</v>
      </c>
      <c r="E138" s="79" t="s">
        <v>234</v>
      </c>
      <c r="F138" s="55"/>
      <c r="G138" s="71">
        <f>IFERROR(VLOOKUP(E138, 'DS- Title'!$A:$B, 2, 0), "")</f>
        <v>0</v>
      </c>
      <c r="H138" s="26"/>
      <c r="I138" s="26"/>
      <c r="J138" s="20"/>
      <c r="K138" s="20"/>
      <c r="L138" s="3"/>
    </row>
    <row r="139" spans="1:20" x14ac:dyDescent="0.25">
      <c r="A139" s="62">
        <f>IF(E139="","",COUNTA($E$6:E139))</f>
        <v>110</v>
      </c>
      <c r="B139" s="94"/>
      <c r="C139" s="91"/>
      <c r="D139" s="61" t="s">
        <v>331</v>
      </c>
      <c r="E139" s="80" t="s">
        <v>38</v>
      </c>
      <c r="F139" s="31">
        <v>98217</v>
      </c>
      <c r="G139" s="71">
        <f>IFERROR(VLOOKUP(E139, 'DS- Title'!$A:$B, 2, 0), "")</f>
        <v>0</v>
      </c>
      <c r="H139" s="43">
        <v>18.5</v>
      </c>
      <c r="I139" s="43">
        <v>22</v>
      </c>
      <c r="J139" s="2"/>
      <c r="K139" s="19" t="s">
        <v>211</v>
      </c>
      <c r="L139" s="16"/>
    </row>
    <row r="140" spans="1:20" x14ac:dyDescent="0.25">
      <c r="A140" s="62">
        <f>IF(E140="","",COUNTA($E$6:E140))</f>
        <v>111</v>
      </c>
      <c r="B140" s="95"/>
      <c r="C140" s="92"/>
      <c r="D140" s="61" t="s">
        <v>331</v>
      </c>
      <c r="E140" s="80" t="s">
        <v>36</v>
      </c>
      <c r="F140" s="31">
        <v>91247</v>
      </c>
      <c r="G140" s="71">
        <f>IFERROR(VLOOKUP(E140, 'DS- Title'!$A:$B, 2, 0), "")</f>
        <v>0</v>
      </c>
      <c r="H140" s="43">
        <v>15.3</v>
      </c>
      <c r="I140" s="43">
        <v>19</v>
      </c>
      <c r="J140" s="2"/>
      <c r="K140" s="42" t="s">
        <v>36</v>
      </c>
      <c r="L140" s="16"/>
    </row>
    <row r="141" spans="1:20" x14ac:dyDescent="0.25">
      <c r="A141" s="9" t="str">
        <f>IF(E141="","",COUNTA($E$6:E141))</f>
        <v/>
      </c>
      <c r="B141" s="7"/>
      <c r="C141" s="7"/>
      <c r="D141" s="7"/>
      <c r="E141" s="47"/>
      <c r="F141" s="48"/>
      <c r="G141" s="73" t="str">
        <f>IFERROR(VLOOKUP(E141, 'DS- Title'!$A:$B, 2, 0), "")</f>
        <v/>
      </c>
      <c r="H141" s="9"/>
      <c r="I141" s="9"/>
      <c r="J141" s="5"/>
      <c r="K141" s="9"/>
      <c r="L141" s="9"/>
    </row>
    <row r="142" spans="1:20" ht="27.6" x14ac:dyDescent="0.25">
      <c r="A142" s="62">
        <f>IF(E142="","",COUNTA($E$6:E142))</f>
        <v>112</v>
      </c>
      <c r="B142" s="101">
        <v>26</v>
      </c>
      <c r="C142" s="101" t="s">
        <v>240</v>
      </c>
      <c r="D142" s="60" t="s">
        <v>331</v>
      </c>
      <c r="E142" s="82" t="s">
        <v>19</v>
      </c>
      <c r="F142" s="51"/>
      <c r="G142" s="71" t="str">
        <f>IFERROR(VLOOKUP(E142, 'DS- Title'!$A:$B, 2, 0), "")</f>
        <v>Trung Tướng. Nguyên Giám đốc CA thành phố HN</v>
      </c>
      <c r="H142" s="3"/>
      <c r="I142" s="3"/>
      <c r="J142" s="2"/>
      <c r="K142" s="3"/>
      <c r="L142" s="3"/>
    </row>
    <row r="143" spans="1:20" x14ac:dyDescent="0.25">
      <c r="A143" s="62">
        <f>IF(E143="","",COUNTA($E$6:E143))</f>
        <v>113</v>
      </c>
      <c r="B143" s="101"/>
      <c r="C143" s="101"/>
      <c r="D143" s="60" t="s">
        <v>333</v>
      </c>
      <c r="E143" s="80" t="s">
        <v>18</v>
      </c>
      <c r="F143" s="51"/>
      <c r="G143" s="71">
        <f>IFERROR(VLOOKUP(E143, 'DS- Title'!$A:$B, 2, 0), "")</f>
        <v>0</v>
      </c>
      <c r="H143" s="3"/>
      <c r="I143" s="3"/>
      <c r="J143" s="2"/>
      <c r="K143" s="3"/>
      <c r="L143" s="3"/>
      <c r="O143" s="1" t="s">
        <v>225</v>
      </c>
    </row>
    <row r="144" spans="1:20" x14ac:dyDescent="0.25">
      <c r="A144" s="62">
        <f>IF(E144="","",COUNTA($E$6:E144))</f>
        <v>114</v>
      </c>
      <c r="B144" s="101"/>
      <c r="C144" s="101"/>
      <c r="D144" s="60" t="s">
        <v>333</v>
      </c>
      <c r="E144" s="80" t="s">
        <v>96</v>
      </c>
      <c r="F144" s="31">
        <v>2511</v>
      </c>
      <c r="G144" s="71">
        <f>IFERROR(VLOOKUP(E144, 'DS- Title'!$A:$B, 2, 0), "")</f>
        <v>0</v>
      </c>
      <c r="H144" s="3">
        <v>19.3</v>
      </c>
      <c r="I144" s="3">
        <v>23</v>
      </c>
      <c r="J144" s="2"/>
      <c r="K144" s="3" t="s">
        <v>213</v>
      </c>
      <c r="L144" s="3"/>
    </row>
    <row r="145" spans="1:12" x14ac:dyDescent="0.25">
      <c r="A145" s="62">
        <f>IF(E145="","",COUNTA($E$6:E145))</f>
        <v>115</v>
      </c>
      <c r="B145" s="101"/>
      <c r="C145" s="101"/>
      <c r="D145" s="60" t="s">
        <v>331</v>
      </c>
      <c r="E145" s="80" t="s">
        <v>97</v>
      </c>
      <c r="F145" s="31">
        <v>31988</v>
      </c>
      <c r="G145" s="71">
        <f>IFERROR(VLOOKUP(E145, 'DS- Title'!$A:$B, 2, 0), "")</f>
        <v>0</v>
      </c>
      <c r="H145" s="3">
        <v>10.4</v>
      </c>
      <c r="I145" s="3">
        <v>13</v>
      </c>
      <c r="J145" s="2"/>
      <c r="K145" s="3" t="s">
        <v>214</v>
      </c>
      <c r="L145" s="3"/>
    </row>
    <row r="146" spans="1:12" x14ac:dyDescent="0.25">
      <c r="A146" s="62">
        <f>IF(E146="","",COUNTA($E$6:E146))</f>
        <v>116</v>
      </c>
      <c r="B146" s="101"/>
      <c r="C146" s="101"/>
      <c r="D146" s="60" t="s">
        <v>331</v>
      </c>
      <c r="E146" s="80" t="s">
        <v>145</v>
      </c>
      <c r="F146" s="31"/>
      <c r="G146" s="71">
        <f>IFERROR(VLOOKUP(E146, 'DS- Title'!$A:$B, 2, 0), "")</f>
        <v>0</v>
      </c>
      <c r="H146" s="3"/>
      <c r="I146" s="3"/>
      <c r="J146" s="2"/>
      <c r="K146" s="3"/>
      <c r="L146" s="3"/>
    </row>
    <row r="147" spans="1:12" x14ac:dyDescent="0.25">
      <c r="A147" s="9" t="str">
        <f>IF(E147="","",COUNTA($E$6:E147))</f>
        <v/>
      </c>
      <c r="B147" s="7"/>
      <c r="C147" s="7"/>
      <c r="D147" s="7"/>
      <c r="E147" s="47"/>
      <c r="F147" s="48"/>
      <c r="G147" s="73" t="str">
        <f>IFERROR(VLOOKUP(E147, 'DS- Title'!$A:$B, 2, 0), "")</f>
        <v/>
      </c>
      <c r="H147" s="9"/>
      <c r="I147" s="9"/>
      <c r="J147" s="5"/>
      <c r="K147" s="9"/>
      <c r="L147" s="9"/>
    </row>
    <row r="148" spans="1:12" x14ac:dyDescent="0.25">
      <c r="A148" s="62">
        <f>IF(E148="","",COUNTA($E$6:E148))</f>
        <v>117</v>
      </c>
      <c r="B148" s="101">
        <v>27</v>
      </c>
      <c r="C148" s="105" t="s">
        <v>296</v>
      </c>
      <c r="D148" s="60" t="s">
        <v>331</v>
      </c>
      <c r="E148" s="30" t="s">
        <v>17</v>
      </c>
      <c r="F148" s="31">
        <v>76435</v>
      </c>
      <c r="G148" s="71" t="str">
        <f>IFERROR(VLOOKUP(E148, 'DS- Title'!$A:$B, 2, 0), "")</f>
        <v>Phó giám đốc chi nhánh</v>
      </c>
      <c r="H148" s="17">
        <v>14.9</v>
      </c>
      <c r="I148" s="17">
        <v>18</v>
      </c>
      <c r="J148" s="8"/>
      <c r="K148" s="15" t="s">
        <v>17</v>
      </c>
      <c r="L148" s="15" t="s">
        <v>277</v>
      </c>
    </row>
    <row r="149" spans="1:12" x14ac:dyDescent="0.25">
      <c r="A149" s="62">
        <f>IF(E149="","",COUNTA($E$6:E149))</f>
        <v>118</v>
      </c>
      <c r="B149" s="101"/>
      <c r="C149" s="105"/>
      <c r="D149" s="60" t="s">
        <v>331</v>
      </c>
      <c r="E149" s="52" t="s">
        <v>256</v>
      </c>
      <c r="F149" s="57"/>
      <c r="G149" s="71" t="str">
        <f>IFERROR(VLOOKUP(E149, 'DS- Title'!$A:$B, 2, 0), "")</f>
        <v/>
      </c>
      <c r="H149" s="11"/>
      <c r="I149" s="11"/>
      <c r="J149" s="11"/>
      <c r="K149" s="11"/>
      <c r="L149" s="11" t="s">
        <v>266</v>
      </c>
    </row>
    <row r="150" spans="1:12" x14ac:dyDescent="0.25">
      <c r="A150" s="62">
        <f>IF(E150="","",COUNTA($E$6:E150))</f>
        <v>119</v>
      </c>
      <c r="B150" s="101"/>
      <c r="C150" s="105"/>
      <c r="D150" s="60" t="s">
        <v>331</v>
      </c>
      <c r="E150" s="80" t="s">
        <v>15</v>
      </c>
      <c r="F150" s="31">
        <v>79654</v>
      </c>
      <c r="G150" s="71" t="str">
        <f>IFERROR(VLOOKUP(E150, 'DS- Title'!$A:$B, 2, 0), "")</f>
        <v>Chánh văn phòng</v>
      </c>
      <c r="H150" s="3">
        <v>54</v>
      </c>
      <c r="I150" s="3">
        <v>65</v>
      </c>
      <c r="J150" s="2"/>
      <c r="K150" s="3" t="s">
        <v>215</v>
      </c>
      <c r="L150" s="3" t="s">
        <v>279</v>
      </c>
    </row>
    <row r="151" spans="1:12" x14ac:dyDescent="0.25">
      <c r="A151" s="62">
        <f>IF(E151="","",COUNTA($E$6:E151))</f>
        <v>120</v>
      </c>
      <c r="B151" s="101"/>
      <c r="C151" s="105"/>
      <c r="D151" s="60" t="s">
        <v>331</v>
      </c>
      <c r="E151" s="80" t="s">
        <v>16</v>
      </c>
      <c r="F151" s="31">
        <v>18500</v>
      </c>
      <c r="G151" s="71" t="str">
        <f>IFERROR(VLOOKUP(E151, 'DS- Title'!$A:$B, 2, 0), "")</f>
        <v>Giám đốc chi nhánh</v>
      </c>
      <c r="H151" s="3">
        <v>21.6</v>
      </c>
      <c r="I151" s="3">
        <v>26</v>
      </c>
      <c r="J151" s="2"/>
      <c r="K151" s="3" t="s">
        <v>216</v>
      </c>
      <c r="L151" s="3" t="s">
        <v>279</v>
      </c>
    </row>
    <row r="152" spans="1:12" x14ac:dyDescent="0.25">
      <c r="A152" s="9" t="str">
        <f>IF(E152="","",COUNTA($E$6:E152))</f>
        <v/>
      </c>
      <c r="B152" s="7"/>
      <c r="C152" s="7"/>
      <c r="D152" s="7"/>
      <c r="E152" s="47"/>
      <c r="F152" s="48"/>
      <c r="G152" s="73" t="str">
        <f>IFERROR(VLOOKUP(E152, 'DS- Title'!$A:$B, 2, 0), "")</f>
        <v/>
      </c>
      <c r="H152" s="9"/>
      <c r="I152" s="9"/>
      <c r="J152" s="5"/>
      <c r="K152" s="9"/>
      <c r="L152" s="9"/>
    </row>
    <row r="153" spans="1:12" x14ac:dyDescent="0.25">
      <c r="A153" s="62">
        <f>IF(E153="","",COUNTA($E$6:E153))</f>
        <v>121</v>
      </c>
      <c r="B153" s="93">
        <v>28</v>
      </c>
      <c r="C153" s="93" t="s">
        <v>238</v>
      </c>
      <c r="D153" s="63" t="s">
        <v>331</v>
      </c>
      <c r="E153" s="52" t="s">
        <v>13</v>
      </c>
      <c r="F153" s="51"/>
      <c r="G153" s="71" t="s">
        <v>326</v>
      </c>
      <c r="H153" s="17"/>
      <c r="I153" s="17"/>
      <c r="J153" s="8"/>
      <c r="K153" s="17"/>
      <c r="L153" s="17" t="s">
        <v>262</v>
      </c>
    </row>
    <row r="154" spans="1:12" ht="27.6" x14ac:dyDescent="0.25">
      <c r="A154" s="62">
        <f>IF(E154="","",COUNTA($E$6:E154))</f>
        <v>122</v>
      </c>
      <c r="B154" s="94"/>
      <c r="C154" s="94"/>
      <c r="D154" s="63" t="s">
        <v>331</v>
      </c>
      <c r="E154" s="80" t="s">
        <v>12</v>
      </c>
      <c r="F154" s="51"/>
      <c r="G154" s="71" t="s">
        <v>327</v>
      </c>
      <c r="H154" s="3"/>
      <c r="I154" s="3"/>
      <c r="J154" s="2"/>
      <c r="K154" s="3"/>
      <c r="L154" s="3" t="s">
        <v>262</v>
      </c>
    </row>
    <row r="155" spans="1:12" ht="27.6" x14ac:dyDescent="0.25">
      <c r="A155" s="62">
        <f>IF(E155="","",COUNTA($E$6:E155))</f>
        <v>123</v>
      </c>
      <c r="B155" s="94"/>
      <c r="C155" s="94"/>
      <c r="D155" s="63" t="s">
        <v>331</v>
      </c>
      <c r="E155" s="80" t="s">
        <v>14</v>
      </c>
      <c r="F155" s="51"/>
      <c r="G155" s="71" t="s">
        <v>328</v>
      </c>
      <c r="H155" s="3"/>
      <c r="I155" s="3"/>
      <c r="J155" s="2"/>
      <c r="K155" s="3"/>
      <c r="L155" s="3" t="s">
        <v>262</v>
      </c>
    </row>
    <row r="156" spans="1:12" ht="27.6" x14ac:dyDescent="0.25">
      <c r="A156" s="62">
        <f>IF(E156="","",COUNTA($E$6:E156))</f>
        <v>124</v>
      </c>
      <c r="B156" s="94"/>
      <c r="C156" s="94"/>
      <c r="D156" s="63" t="s">
        <v>331</v>
      </c>
      <c r="E156" s="30" t="s">
        <v>11</v>
      </c>
      <c r="F156" s="51"/>
      <c r="G156" s="71" t="s">
        <v>312</v>
      </c>
      <c r="H156" s="3"/>
      <c r="I156" s="3"/>
      <c r="J156" s="2"/>
      <c r="K156" s="3"/>
      <c r="L156" s="3" t="s">
        <v>262</v>
      </c>
    </row>
    <row r="157" spans="1:12" x14ac:dyDescent="0.25">
      <c r="A157" s="62">
        <f>IF(E157="","",COUNTA($E$6:E157))</f>
        <v>125</v>
      </c>
      <c r="B157" s="95"/>
      <c r="C157" s="95"/>
      <c r="D157" s="63" t="s">
        <v>331</v>
      </c>
      <c r="E157" s="30" t="s">
        <v>4</v>
      </c>
      <c r="F157" s="31"/>
      <c r="G157" s="72" t="s">
        <v>322</v>
      </c>
      <c r="H157" s="43"/>
      <c r="I157" s="43"/>
      <c r="J157" s="2"/>
      <c r="K157" s="43"/>
      <c r="L157" s="62" t="s">
        <v>262</v>
      </c>
    </row>
    <row r="158" spans="1:12" x14ac:dyDescent="0.25">
      <c r="A158" s="9" t="str">
        <f>IF(E158="","",COUNTA($E$6:E158))</f>
        <v/>
      </c>
      <c r="B158" s="7"/>
      <c r="C158" s="7"/>
      <c r="D158" s="7"/>
      <c r="E158" s="47"/>
      <c r="F158" s="48"/>
      <c r="G158" s="73"/>
      <c r="H158" s="9"/>
      <c r="I158" s="9"/>
      <c r="J158" s="5"/>
      <c r="K158" s="9"/>
      <c r="L158" s="9"/>
    </row>
    <row r="159" spans="1:12" x14ac:dyDescent="0.25">
      <c r="A159" s="62">
        <f>IF(E159="","",COUNTA($E$6:E159))</f>
        <v>126</v>
      </c>
      <c r="B159" s="101">
        <v>29</v>
      </c>
      <c r="C159" s="101" t="s">
        <v>308</v>
      </c>
      <c r="D159" s="60" t="s">
        <v>331</v>
      </c>
      <c r="E159" s="30" t="s">
        <v>9</v>
      </c>
      <c r="F159" s="51"/>
      <c r="G159" s="71" t="s">
        <v>314</v>
      </c>
      <c r="H159" s="3"/>
      <c r="I159" s="3"/>
      <c r="J159" s="2"/>
      <c r="K159" s="3"/>
      <c r="L159" s="3" t="s">
        <v>262</v>
      </c>
    </row>
    <row r="160" spans="1:12" ht="27.6" x14ac:dyDescent="0.25">
      <c r="A160" s="62">
        <f>IF(E160="","",COUNTA($E$6:E160))</f>
        <v>127</v>
      </c>
      <c r="B160" s="101"/>
      <c r="C160" s="101"/>
      <c r="D160" s="60" t="s">
        <v>331</v>
      </c>
      <c r="E160" s="30" t="s">
        <v>161</v>
      </c>
      <c r="F160" s="51"/>
      <c r="G160" s="71" t="s">
        <v>311</v>
      </c>
      <c r="H160" s="59"/>
      <c r="I160" s="59"/>
      <c r="J160" s="2"/>
      <c r="K160" s="59"/>
      <c r="L160" s="62" t="s">
        <v>262</v>
      </c>
    </row>
    <row r="161" spans="1:12" x14ac:dyDescent="0.25">
      <c r="A161" s="62">
        <f>IF(E161="","",COUNTA($E$6:E161))</f>
        <v>128</v>
      </c>
      <c r="B161" s="101"/>
      <c r="C161" s="101"/>
      <c r="D161" s="60" t="s">
        <v>331</v>
      </c>
      <c r="E161" s="80" t="s">
        <v>1</v>
      </c>
      <c r="F161" s="51"/>
      <c r="G161" s="71" t="s">
        <v>324</v>
      </c>
      <c r="H161" s="59"/>
      <c r="I161" s="59"/>
      <c r="J161" s="2"/>
      <c r="K161" s="59"/>
      <c r="L161" s="59" t="s">
        <v>262</v>
      </c>
    </row>
    <row r="162" spans="1:12" x14ac:dyDescent="0.25">
      <c r="A162" s="62">
        <f>IF(E162="","",COUNTA($E$6:E162))</f>
        <v>129</v>
      </c>
      <c r="B162" s="101"/>
      <c r="C162" s="101"/>
      <c r="D162" s="60" t="s">
        <v>331</v>
      </c>
      <c r="E162" s="80" t="s">
        <v>5</v>
      </c>
      <c r="F162" s="51">
        <v>6227</v>
      </c>
      <c r="G162" s="71" t="s">
        <v>321</v>
      </c>
      <c r="H162" s="62">
        <v>14</v>
      </c>
      <c r="I162" s="62">
        <v>17</v>
      </c>
      <c r="J162" s="2"/>
      <c r="K162" s="62" t="s">
        <v>226</v>
      </c>
      <c r="L162" s="62" t="s">
        <v>262</v>
      </c>
    </row>
    <row r="163" spans="1:12" x14ac:dyDescent="0.25">
      <c r="A163" s="62">
        <f>IF(E163="","",COUNTA($E$6:E163))</f>
        <v>130</v>
      </c>
      <c r="B163" s="101"/>
      <c r="C163" s="101"/>
      <c r="D163" s="60" t="s">
        <v>331</v>
      </c>
      <c r="E163" s="30" t="s">
        <v>310</v>
      </c>
      <c r="F163" s="51"/>
      <c r="G163" s="71" t="s">
        <v>329</v>
      </c>
      <c r="H163" s="3"/>
      <c r="I163" s="3"/>
      <c r="J163" s="2"/>
      <c r="K163" s="3"/>
      <c r="L163" s="3" t="s">
        <v>262</v>
      </c>
    </row>
    <row r="164" spans="1:12" x14ac:dyDescent="0.25">
      <c r="A164" s="9" t="str">
        <f>IF(E164="","",COUNTA($E$6:E164))</f>
        <v/>
      </c>
      <c r="B164" s="7"/>
      <c r="C164" s="7"/>
      <c r="D164" s="7"/>
      <c r="E164" s="47"/>
      <c r="F164" s="48"/>
      <c r="G164" s="73"/>
      <c r="H164" s="9"/>
      <c r="I164" s="9"/>
      <c r="J164" s="5"/>
      <c r="K164" s="9"/>
      <c r="L164" s="9"/>
    </row>
    <row r="165" spans="1:12" x14ac:dyDescent="0.25">
      <c r="A165" s="62">
        <f>IF(E165="","",COUNTA($E$6:E165))</f>
        <v>131</v>
      </c>
      <c r="B165" s="101">
        <v>31</v>
      </c>
      <c r="C165" s="101" t="s">
        <v>307</v>
      </c>
      <c r="D165" s="60" t="s">
        <v>331</v>
      </c>
      <c r="E165" s="80" t="s">
        <v>159</v>
      </c>
      <c r="F165" s="51"/>
      <c r="G165" s="71" t="s">
        <v>316</v>
      </c>
      <c r="H165" s="3"/>
      <c r="I165" s="3"/>
      <c r="J165" s="2"/>
      <c r="K165" s="3"/>
      <c r="L165" s="3" t="s">
        <v>262</v>
      </c>
    </row>
    <row r="166" spans="1:12" x14ac:dyDescent="0.25">
      <c r="A166" s="62">
        <f>IF(E166="","",COUNTA($E$6:E166))</f>
        <v>132</v>
      </c>
      <c r="B166" s="101"/>
      <c r="C166" s="101"/>
      <c r="D166" s="60" t="s">
        <v>331</v>
      </c>
      <c r="E166" s="80" t="s">
        <v>2</v>
      </c>
      <c r="F166" s="51"/>
      <c r="G166" s="71" t="s">
        <v>324</v>
      </c>
      <c r="H166" s="3"/>
      <c r="I166" s="3"/>
      <c r="J166" s="2"/>
      <c r="K166" s="3"/>
      <c r="L166" s="3" t="s">
        <v>262</v>
      </c>
    </row>
    <row r="167" spans="1:12" x14ac:dyDescent="0.25">
      <c r="A167" s="62">
        <f>IF(E167="","",COUNTA($E$6:E167))</f>
        <v>133</v>
      </c>
      <c r="B167" s="101"/>
      <c r="C167" s="101"/>
      <c r="D167" s="60" t="s">
        <v>331</v>
      </c>
      <c r="E167" s="80" t="s">
        <v>158</v>
      </c>
      <c r="F167" s="51"/>
      <c r="G167" s="71" t="s">
        <v>316</v>
      </c>
      <c r="H167" s="3"/>
      <c r="I167" s="3"/>
      <c r="J167" s="2"/>
      <c r="K167" s="3"/>
      <c r="L167" s="3" t="s">
        <v>262</v>
      </c>
    </row>
    <row r="168" spans="1:12" x14ac:dyDescent="0.25">
      <c r="A168" s="62">
        <f>IF(E168="","",COUNTA($E$6:E168))</f>
        <v>134</v>
      </c>
      <c r="B168" s="101"/>
      <c r="C168" s="101"/>
      <c r="D168" s="60" t="s">
        <v>331</v>
      </c>
      <c r="E168" s="80" t="s">
        <v>160</v>
      </c>
      <c r="F168" s="51"/>
      <c r="G168" s="71" t="s">
        <v>317</v>
      </c>
      <c r="H168" s="3"/>
      <c r="I168" s="3"/>
      <c r="J168" s="2"/>
      <c r="K168" s="3"/>
      <c r="L168" s="3" t="s">
        <v>262</v>
      </c>
    </row>
    <row r="169" spans="1:12" x14ac:dyDescent="0.25">
      <c r="A169" s="9" t="str">
        <f>IF(E169="","",COUNTA($E$6:E169))</f>
        <v/>
      </c>
      <c r="B169" s="7"/>
      <c r="C169" s="7"/>
      <c r="D169" s="7"/>
      <c r="E169" s="47"/>
      <c r="F169" s="48"/>
      <c r="G169" s="73"/>
      <c r="H169" s="9"/>
      <c r="I169" s="9"/>
      <c r="J169" s="5"/>
      <c r="K169" s="9"/>
      <c r="L169" s="9"/>
    </row>
    <row r="170" spans="1:12" ht="15" customHeight="1" x14ac:dyDescent="0.25">
      <c r="A170" s="62">
        <f>IF(E170="","",COUNTA($E$6:E170))</f>
        <v>135</v>
      </c>
      <c r="B170" s="101">
        <v>32</v>
      </c>
      <c r="C170" s="101" t="s">
        <v>285</v>
      </c>
      <c r="D170" s="60" t="s">
        <v>331</v>
      </c>
      <c r="E170" s="80" t="s">
        <v>10</v>
      </c>
      <c r="F170" s="51"/>
      <c r="G170" s="71" t="s">
        <v>313</v>
      </c>
      <c r="H170" s="3"/>
      <c r="I170" s="3"/>
      <c r="J170" s="2"/>
      <c r="K170" s="3"/>
      <c r="L170" s="3" t="s">
        <v>262</v>
      </c>
    </row>
    <row r="171" spans="1:12" x14ac:dyDescent="0.25">
      <c r="A171" s="62">
        <f>IF(E171="","",COUNTA($E$6:E171))</f>
        <v>136</v>
      </c>
      <c r="B171" s="101"/>
      <c r="C171" s="101"/>
      <c r="D171" s="60" t="s">
        <v>331</v>
      </c>
      <c r="E171" s="30" t="s">
        <v>7</v>
      </c>
      <c r="F171" s="51"/>
      <c r="G171" s="71" t="s">
        <v>319</v>
      </c>
      <c r="H171" s="3"/>
      <c r="I171" s="3"/>
      <c r="J171" s="2"/>
      <c r="K171" s="3"/>
      <c r="L171" s="3" t="s">
        <v>262</v>
      </c>
    </row>
    <row r="172" spans="1:12" x14ac:dyDescent="0.25">
      <c r="A172" s="62">
        <f>IF(E172="","",COUNTA($E$6:E172))</f>
        <v>137</v>
      </c>
      <c r="B172" s="101"/>
      <c r="C172" s="101"/>
      <c r="D172" s="60" t="s">
        <v>331</v>
      </c>
      <c r="E172" s="30" t="s">
        <v>0</v>
      </c>
      <c r="F172" s="51"/>
      <c r="G172" s="71" t="s">
        <v>325</v>
      </c>
      <c r="H172" s="3"/>
      <c r="I172" s="3"/>
      <c r="J172" s="2"/>
      <c r="K172" s="3"/>
      <c r="L172" s="3" t="s">
        <v>262</v>
      </c>
    </row>
    <row r="173" spans="1:12" x14ac:dyDescent="0.25">
      <c r="A173" s="77"/>
      <c r="B173" s="101"/>
      <c r="C173" s="101"/>
      <c r="D173" s="76" t="s">
        <v>331</v>
      </c>
      <c r="E173" s="30" t="s">
        <v>6</v>
      </c>
      <c r="F173" s="51"/>
      <c r="G173" s="71" t="s">
        <v>320</v>
      </c>
      <c r="H173" s="77"/>
      <c r="I173" s="77"/>
      <c r="J173" s="2"/>
      <c r="K173" s="77"/>
      <c r="L173" s="77" t="s">
        <v>262</v>
      </c>
    </row>
    <row r="174" spans="1:12" x14ac:dyDescent="0.25">
      <c r="A174" s="62">
        <f>IF(E174="","",COUNTA($E$6:E174))</f>
        <v>139</v>
      </c>
      <c r="B174" s="101"/>
      <c r="C174" s="101"/>
      <c r="D174" s="76" t="s">
        <v>331</v>
      </c>
      <c r="E174" s="30" t="s">
        <v>8</v>
      </c>
      <c r="F174" s="51"/>
      <c r="G174" s="71" t="s">
        <v>315</v>
      </c>
      <c r="H174" s="77"/>
      <c r="I174" s="77"/>
      <c r="J174" s="2"/>
      <c r="K174" s="77"/>
      <c r="L174" s="77" t="s">
        <v>262</v>
      </c>
    </row>
    <row r="175" spans="1:12" x14ac:dyDescent="0.25">
      <c r="A175" s="9" t="str">
        <f>IF(E175="","",COUNTA($E$6:E175))</f>
        <v/>
      </c>
      <c r="B175" s="7"/>
      <c r="C175" s="7"/>
      <c r="D175" s="7"/>
      <c r="E175" s="47"/>
      <c r="F175" s="48"/>
      <c r="G175" s="73"/>
      <c r="H175" s="9"/>
      <c r="I175" s="9"/>
      <c r="J175" s="5"/>
      <c r="K175" s="9"/>
      <c r="L175" s="9"/>
    </row>
    <row r="176" spans="1:12" x14ac:dyDescent="0.25">
      <c r="A176" s="62">
        <f>IF(E176="","",COUNTA($E$6:E176))</f>
        <v>140</v>
      </c>
      <c r="B176" s="104">
        <v>33</v>
      </c>
      <c r="C176" s="101" t="s">
        <v>286</v>
      </c>
      <c r="D176" s="60" t="s">
        <v>331</v>
      </c>
      <c r="E176" s="88" t="s">
        <v>146</v>
      </c>
      <c r="F176" s="51"/>
      <c r="G176" s="71" t="s">
        <v>335</v>
      </c>
      <c r="H176" s="3"/>
      <c r="I176" s="3"/>
      <c r="J176" s="2"/>
      <c r="K176" s="3"/>
      <c r="L176" s="3" t="s">
        <v>263</v>
      </c>
    </row>
    <row r="177" spans="1:12" x14ac:dyDescent="0.25">
      <c r="A177" s="62">
        <f>IF(E177="","",COUNTA($E$6:E177))</f>
        <v>141</v>
      </c>
      <c r="B177" s="104"/>
      <c r="C177" s="101"/>
      <c r="D177" s="60" t="s">
        <v>331</v>
      </c>
      <c r="E177" s="89" t="s">
        <v>21</v>
      </c>
      <c r="F177" s="51"/>
      <c r="G177" s="71" t="s">
        <v>263</v>
      </c>
      <c r="H177" s="3"/>
      <c r="I177" s="3"/>
      <c r="J177" s="2"/>
      <c r="K177" s="3"/>
      <c r="L177" s="3" t="s">
        <v>263</v>
      </c>
    </row>
    <row r="178" spans="1:12" x14ac:dyDescent="0.25">
      <c r="A178" s="62">
        <f>IF(E178="","",COUNTA($E$6:E178))</f>
        <v>142</v>
      </c>
      <c r="B178" s="104"/>
      <c r="C178" s="101"/>
      <c r="D178" s="60" t="s">
        <v>331</v>
      </c>
      <c r="E178" s="88" t="s">
        <v>252</v>
      </c>
      <c r="F178" s="51"/>
      <c r="G178" s="71" t="s">
        <v>337</v>
      </c>
      <c r="H178" s="3"/>
      <c r="I178" s="3"/>
      <c r="J178" s="2"/>
      <c r="K178" s="3"/>
      <c r="L178" s="3" t="s">
        <v>263</v>
      </c>
    </row>
    <row r="179" spans="1:12" x14ac:dyDescent="0.25">
      <c r="A179" s="62">
        <f>IF(E179="","",COUNTA($E$6:E179))</f>
        <v>143</v>
      </c>
      <c r="B179" s="104"/>
      <c r="C179" s="101"/>
      <c r="D179" s="60" t="s">
        <v>331</v>
      </c>
      <c r="E179" s="88" t="s">
        <v>35</v>
      </c>
      <c r="F179" s="51"/>
      <c r="G179" s="71" t="s">
        <v>336</v>
      </c>
      <c r="H179" s="3"/>
      <c r="I179" s="3"/>
      <c r="J179" s="2"/>
      <c r="K179" s="3"/>
      <c r="L179" s="3" t="s">
        <v>263</v>
      </c>
    </row>
    <row r="180" spans="1:12" x14ac:dyDescent="0.25">
      <c r="A180" s="62">
        <f>IF(E180="","",COUNTA($E$6:E180))</f>
        <v>144</v>
      </c>
      <c r="B180" s="104"/>
      <c r="C180" s="101"/>
      <c r="D180" s="60" t="s">
        <v>331</v>
      </c>
      <c r="E180" s="88" t="s">
        <v>35</v>
      </c>
      <c r="F180" s="51"/>
      <c r="G180" s="71" t="s">
        <v>338</v>
      </c>
      <c r="H180" s="3"/>
      <c r="I180" s="3"/>
      <c r="J180" s="2"/>
      <c r="K180" s="3"/>
      <c r="L180" s="3" t="s">
        <v>263</v>
      </c>
    </row>
    <row r="181" spans="1:12" x14ac:dyDescent="0.25">
      <c r="A181" s="9" t="str">
        <f>IF(E181="","",COUNTA($E$6:E181))</f>
        <v/>
      </c>
      <c r="B181" s="13"/>
      <c r="C181" s="36"/>
      <c r="D181" s="36"/>
      <c r="E181" s="47"/>
      <c r="F181" s="48"/>
      <c r="G181" s="73"/>
      <c r="H181" s="18"/>
      <c r="I181" s="18"/>
      <c r="J181" s="13"/>
      <c r="K181" s="18"/>
      <c r="L181" s="18"/>
    </row>
    <row r="182" spans="1:12" x14ac:dyDescent="0.25">
      <c r="A182" s="62">
        <f>IF(E182="","",COUNTA($E$6:E182))</f>
        <v>145</v>
      </c>
      <c r="B182" s="101">
        <v>34</v>
      </c>
      <c r="C182" s="101" t="s">
        <v>306</v>
      </c>
      <c r="D182" s="60" t="s">
        <v>331</v>
      </c>
      <c r="E182" s="52" t="s">
        <v>150</v>
      </c>
      <c r="F182" s="31"/>
      <c r="G182" s="72" t="s">
        <v>342</v>
      </c>
      <c r="H182" s="46"/>
      <c r="I182" s="46"/>
      <c r="J182" s="2"/>
      <c r="K182" s="46"/>
      <c r="L182" s="46" t="s">
        <v>278</v>
      </c>
    </row>
    <row r="183" spans="1:12" x14ac:dyDescent="0.25">
      <c r="A183" s="62">
        <f>IF(E183="","",COUNTA($E$6:E183))</f>
        <v>146</v>
      </c>
      <c r="B183" s="101"/>
      <c r="C183" s="101"/>
      <c r="D183" s="60" t="s">
        <v>331</v>
      </c>
      <c r="E183" s="30" t="s">
        <v>257</v>
      </c>
      <c r="F183" s="58"/>
      <c r="G183" s="72" t="s">
        <v>339</v>
      </c>
      <c r="H183" s="12"/>
      <c r="I183" s="12"/>
      <c r="J183" s="12"/>
      <c r="K183" s="12"/>
      <c r="L183" s="12" t="s">
        <v>265</v>
      </c>
    </row>
    <row r="184" spans="1:12" x14ac:dyDescent="0.25">
      <c r="A184" s="62">
        <f>IF(E184="","",COUNTA($E$6:E184))</f>
        <v>147</v>
      </c>
      <c r="B184" s="101"/>
      <c r="C184" s="101"/>
      <c r="D184" s="60" t="s">
        <v>331</v>
      </c>
      <c r="E184" s="83" t="s">
        <v>147</v>
      </c>
      <c r="F184" s="58"/>
      <c r="G184" s="72" t="s">
        <v>341</v>
      </c>
      <c r="H184" s="12"/>
      <c r="I184" s="12"/>
      <c r="J184" s="12"/>
      <c r="K184" s="12"/>
      <c r="L184" s="12" t="s">
        <v>264</v>
      </c>
    </row>
    <row r="185" spans="1:12" x14ac:dyDescent="0.25">
      <c r="A185" s="62">
        <f>IF(E185="","",COUNTA($E$6:E185))</f>
        <v>148</v>
      </c>
      <c r="B185" s="101"/>
      <c r="C185" s="101"/>
      <c r="D185" s="60" t="s">
        <v>331</v>
      </c>
      <c r="E185" s="81" t="s">
        <v>148</v>
      </c>
      <c r="F185" s="57"/>
      <c r="G185" s="72" t="s">
        <v>340</v>
      </c>
      <c r="H185" s="11"/>
      <c r="I185" s="11"/>
      <c r="J185" s="11"/>
      <c r="K185" s="11"/>
      <c r="L185" s="11" t="s">
        <v>264</v>
      </c>
    </row>
    <row r="186" spans="1:12" x14ac:dyDescent="0.25">
      <c r="B186" s="1"/>
    </row>
    <row r="187" spans="1:12" x14ac:dyDescent="0.25">
      <c r="B187" s="1"/>
    </row>
    <row r="188" spans="1:12" x14ac:dyDescent="0.25">
      <c r="B188" s="1"/>
    </row>
    <row r="189" spans="1:12" x14ac:dyDescent="0.25">
      <c r="B189" s="1"/>
    </row>
    <row r="190" spans="1:12" x14ac:dyDescent="0.25">
      <c r="B190" s="1"/>
    </row>
    <row r="191" spans="1:12" x14ac:dyDescent="0.25">
      <c r="B191" s="1"/>
    </row>
  </sheetData>
  <mergeCells count="79">
    <mergeCell ref="C12:C16"/>
    <mergeCell ref="B103:B107"/>
    <mergeCell ref="L4:L5"/>
    <mergeCell ref="B55:B58"/>
    <mergeCell ref="B165:B168"/>
    <mergeCell ref="C165:C168"/>
    <mergeCell ref="B121:B124"/>
    <mergeCell ref="C121:C124"/>
    <mergeCell ref="B159:B163"/>
    <mergeCell ref="C65:C68"/>
    <mergeCell ref="B142:B146"/>
    <mergeCell ref="B65:B68"/>
    <mergeCell ref="B76:B79"/>
    <mergeCell ref="B81:B84"/>
    <mergeCell ref="B86:B89"/>
    <mergeCell ref="B91:B95"/>
    <mergeCell ref="B153:B157"/>
    <mergeCell ref="B2:K2"/>
    <mergeCell ref="C159:C163"/>
    <mergeCell ref="C103:C107"/>
    <mergeCell ref="C97:C101"/>
    <mergeCell ref="C115:C119"/>
    <mergeCell ref="C81:C84"/>
    <mergeCell ref="C76:C79"/>
    <mergeCell ref="C91:C95"/>
    <mergeCell ref="C86:C89"/>
    <mergeCell ref="B45:B48"/>
    <mergeCell ref="C45:C48"/>
    <mergeCell ref="C60:C63"/>
    <mergeCell ref="C55:C58"/>
    <mergeCell ref="C6:C10"/>
    <mergeCell ref="B39:B43"/>
    <mergeCell ref="B60:B63"/>
    <mergeCell ref="B70:B74"/>
    <mergeCell ref="B182:B185"/>
    <mergeCell ref="C182:C185"/>
    <mergeCell ref="C170:C174"/>
    <mergeCell ref="C126:C129"/>
    <mergeCell ref="C142:C146"/>
    <mergeCell ref="C131:C134"/>
    <mergeCell ref="B131:B134"/>
    <mergeCell ref="B126:B129"/>
    <mergeCell ref="C176:C180"/>
    <mergeCell ref="B176:B180"/>
    <mergeCell ref="B148:B151"/>
    <mergeCell ref="C148:C151"/>
    <mergeCell ref="B170:B174"/>
    <mergeCell ref="B136:B140"/>
    <mergeCell ref="J4:J5"/>
    <mergeCell ref="K4:K5"/>
    <mergeCell ref="H4:H5"/>
    <mergeCell ref="B4:B5"/>
    <mergeCell ref="E4:E5"/>
    <mergeCell ref="C4:C5"/>
    <mergeCell ref="F4:F5"/>
    <mergeCell ref="I4:I5"/>
    <mergeCell ref="B97:B101"/>
    <mergeCell ref="C39:C43"/>
    <mergeCell ref="C34:C37"/>
    <mergeCell ref="C70:C74"/>
    <mergeCell ref="C50:C53"/>
    <mergeCell ref="B50:B53"/>
    <mergeCell ref="B34:B37"/>
    <mergeCell ref="C136:C140"/>
    <mergeCell ref="C153:C157"/>
    <mergeCell ref="G4:G5"/>
    <mergeCell ref="D4:D5"/>
    <mergeCell ref="A4:A5"/>
    <mergeCell ref="B29:B32"/>
    <mergeCell ref="C29:C32"/>
    <mergeCell ref="B18:B22"/>
    <mergeCell ref="C18:C22"/>
    <mergeCell ref="C24:C27"/>
    <mergeCell ref="B6:B10"/>
    <mergeCell ref="B12:B16"/>
    <mergeCell ref="B24:B27"/>
    <mergeCell ref="B115:B119"/>
    <mergeCell ref="B109:B113"/>
    <mergeCell ref="C109:C113"/>
  </mergeCells>
  <conditionalFormatting sqref="E19:F19">
    <cfRule type="expression" dxfId="1" priority="4">
      <formula>$X19="Hủy"</formula>
    </cfRule>
  </conditionalFormatting>
  <conditionalFormatting sqref="F122">
    <cfRule type="expression" dxfId="0" priority="1">
      <formula>$W122="Hủy"</formula>
    </cfRule>
  </conditionalFormatting>
  <dataValidations disablePrompts="1" count="1">
    <dataValidation type="custom" allowBlank="1" showDropDown="1" sqref="F19 F122 F183:G185 F149">
      <formula1>AND(ISNUMBER(F19),(NOT(OR(NOT(ISERROR(DATEVALUE(F19))), AND(ISNUMBER(F19), LEFT(CELL("format", F19))="D")))))</formula1>
    </dataValidation>
  </dataValidation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6"/>
  <sheetViews>
    <sheetView topLeftCell="A14" zoomScale="115" zoomScaleNormal="115" workbookViewId="0">
      <selection activeCell="D5" sqref="D5:D36"/>
    </sheetView>
  </sheetViews>
  <sheetFormatPr defaultRowHeight="13.8" x14ac:dyDescent="0.25"/>
  <cols>
    <col min="2" max="2" width="4.796875" style="29" bestFit="1" customWidth="1"/>
    <col min="3" max="3" width="5.09765625" style="35" bestFit="1" customWidth="1"/>
    <col min="4" max="4" width="18.09765625" bestFit="1" customWidth="1"/>
    <col min="5" max="5" width="6.09765625" bestFit="1" customWidth="1"/>
    <col min="6" max="6" width="8.796875" style="27" bestFit="1" customWidth="1"/>
    <col min="7" max="7" width="10.59765625" style="27" bestFit="1" customWidth="1"/>
    <col min="8" max="8" width="6.69921875" bestFit="1" customWidth="1"/>
    <col min="9" max="9" width="22.09765625" bestFit="1" customWidth="1"/>
  </cols>
  <sheetData>
    <row r="1" spans="2:9" ht="17.399999999999999" x14ac:dyDescent="0.3">
      <c r="B1" s="113" t="s">
        <v>151</v>
      </c>
      <c r="C1" s="113"/>
      <c r="D1" s="113"/>
      <c r="E1" s="113"/>
      <c r="F1" s="113"/>
      <c r="G1" s="113"/>
      <c r="H1" s="113"/>
      <c r="I1" s="113"/>
    </row>
    <row r="2" spans="2:9" x14ac:dyDescent="0.25">
      <c r="B2" s="109" t="s">
        <v>249</v>
      </c>
      <c r="C2" s="109"/>
      <c r="D2" s="109"/>
      <c r="E2" s="109"/>
      <c r="F2" s="109"/>
      <c r="G2" s="109"/>
      <c r="H2" s="109"/>
      <c r="I2" s="109"/>
    </row>
    <row r="3" spans="2:9" x14ac:dyDescent="0.25">
      <c r="B3" s="100" t="s">
        <v>131</v>
      </c>
      <c r="C3" s="100" t="s">
        <v>132</v>
      </c>
      <c r="D3" s="100" t="s">
        <v>133</v>
      </c>
      <c r="E3" s="100" t="s">
        <v>134</v>
      </c>
      <c r="F3" s="102" t="s">
        <v>137</v>
      </c>
      <c r="G3" s="100" t="s">
        <v>135</v>
      </c>
      <c r="H3" s="100" t="s">
        <v>136</v>
      </c>
      <c r="I3" s="102" t="s">
        <v>138</v>
      </c>
    </row>
    <row r="4" spans="2:9" x14ac:dyDescent="0.25">
      <c r="B4" s="100"/>
      <c r="C4" s="100"/>
      <c r="D4" s="100"/>
      <c r="E4" s="100"/>
      <c r="F4" s="100"/>
      <c r="G4" s="100"/>
      <c r="H4" s="100"/>
      <c r="I4" s="100"/>
    </row>
    <row r="5" spans="2:9" x14ac:dyDescent="0.25">
      <c r="B5" s="94">
        <v>1</v>
      </c>
      <c r="C5" s="93">
        <v>1</v>
      </c>
      <c r="D5" s="82" t="s">
        <v>109</v>
      </c>
      <c r="E5" s="4">
        <v>90036</v>
      </c>
      <c r="F5" s="3">
        <v>21.6</v>
      </c>
      <c r="G5" s="3">
        <v>24</v>
      </c>
      <c r="H5" s="2"/>
      <c r="I5" s="3" t="s">
        <v>175</v>
      </c>
    </row>
    <row r="6" spans="2:9" x14ac:dyDescent="0.25">
      <c r="B6" s="94"/>
      <c r="C6" s="94"/>
      <c r="D6" s="84" t="s">
        <v>241</v>
      </c>
      <c r="E6" s="10">
        <v>71649</v>
      </c>
      <c r="F6" s="3">
        <v>12.4</v>
      </c>
      <c r="G6" s="3">
        <v>15</v>
      </c>
      <c r="H6" s="2"/>
      <c r="I6" s="2" t="s">
        <v>241</v>
      </c>
    </row>
    <row r="7" spans="2:9" x14ac:dyDescent="0.25">
      <c r="B7" s="95"/>
      <c r="C7" s="95"/>
      <c r="D7" s="84" t="s">
        <v>35</v>
      </c>
      <c r="E7" s="10">
        <v>45300</v>
      </c>
      <c r="F7" s="3">
        <v>16.399999999999999</v>
      </c>
      <c r="G7" s="3">
        <v>20</v>
      </c>
      <c r="H7" s="2"/>
      <c r="I7" s="2" t="s">
        <v>248</v>
      </c>
    </row>
    <row r="8" spans="2:9" x14ac:dyDescent="0.25">
      <c r="B8" s="24"/>
      <c r="C8" s="7"/>
      <c r="D8" s="5"/>
      <c r="E8" s="5"/>
      <c r="F8" s="9"/>
      <c r="G8" s="9"/>
      <c r="H8" s="5"/>
      <c r="I8" s="5"/>
    </row>
    <row r="9" spans="2:9" x14ac:dyDescent="0.25">
      <c r="B9" s="93">
        <v>2</v>
      </c>
      <c r="C9" s="93">
        <v>10</v>
      </c>
      <c r="D9" s="84" t="s">
        <v>31</v>
      </c>
      <c r="E9" s="10">
        <v>106305</v>
      </c>
      <c r="F9" s="3">
        <v>17.899999999999999</v>
      </c>
      <c r="G9" s="3">
        <v>22</v>
      </c>
      <c r="H9" s="2"/>
      <c r="I9" s="2" t="s">
        <v>227</v>
      </c>
    </row>
    <row r="10" spans="2:9" x14ac:dyDescent="0.25">
      <c r="B10" s="94"/>
      <c r="C10" s="94"/>
      <c r="D10" s="84" t="s">
        <v>21</v>
      </c>
      <c r="E10" s="10">
        <v>158134</v>
      </c>
      <c r="F10" s="3">
        <v>14.4</v>
      </c>
      <c r="G10" s="3">
        <v>17</v>
      </c>
      <c r="H10" s="2"/>
      <c r="I10" s="2" t="s">
        <v>229</v>
      </c>
    </row>
    <row r="11" spans="2:9" x14ac:dyDescent="0.25">
      <c r="B11" s="94"/>
      <c r="C11" s="94"/>
      <c r="D11" s="84" t="s">
        <v>22</v>
      </c>
      <c r="E11" s="10">
        <v>138068</v>
      </c>
      <c r="F11" s="3">
        <v>16.5</v>
      </c>
      <c r="G11" s="3">
        <v>20</v>
      </c>
      <c r="H11" s="2"/>
      <c r="I11" s="2" t="s">
        <v>228</v>
      </c>
    </row>
    <row r="12" spans="2:9" x14ac:dyDescent="0.25">
      <c r="B12" s="95"/>
      <c r="C12" s="95"/>
      <c r="D12" s="84" t="s">
        <v>24</v>
      </c>
      <c r="E12" s="10">
        <v>34895</v>
      </c>
      <c r="F12" s="3">
        <v>16.7</v>
      </c>
      <c r="G12" s="3">
        <v>20</v>
      </c>
      <c r="H12" s="2"/>
      <c r="I12" s="2" t="s">
        <v>24</v>
      </c>
    </row>
    <row r="13" spans="2:9" x14ac:dyDescent="0.25">
      <c r="B13" s="24"/>
      <c r="C13" s="7"/>
      <c r="D13" s="5"/>
      <c r="E13" s="5"/>
      <c r="F13" s="9"/>
      <c r="G13" s="9"/>
      <c r="H13" s="5"/>
      <c r="I13" s="5"/>
    </row>
    <row r="14" spans="2:9" x14ac:dyDescent="0.25">
      <c r="B14" s="93">
        <v>3</v>
      </c>
      <c r="C14" s="93">
        <v>11</v>
      </c>
      <c r="D14" s="84" t="s">
        <v>230</v>
      </c>
      <c r="E14" s="10">
        <v>130045</v>
      </c>
      <c r="F14" s="3">
        <v>29.9</v>
      </c>
      <c r="G14" s="3">
        <v>36</v>
      </c>
      <c r="H14" s="2"/>
      <c r="I14" s="2" t="s">
        <v>230</v>
      </c>
    </row>
    <row r="15" spans="2:9" x14ac:dyDescent="0.25">
      <c r="B15" s="94"/>
      <c r="C15" s="94"/>
      <c r="D15" s="84" t="s">
        <v>30</v>
      </c>
      <c r="E15" s="10">
        <v>176170</v>
      </c>
      <c r="F15" s="3">
        <v>36</v>
      </c>
      <c r="G15" s="3">
        <v>44</v>
      </c>
      <c r="H15" s="2"/>
      <c r="I15" s="2" t="s">
        <v>244</v>
      </c>
    </row>
    <row r="16" spans="2:9" x14ac:dyDescent="0.25">
      <c r="B16" s="94"/>
      <c r="C16" s="94"/>
      <c r="D16" s="84" t="s">
        <v>20</v>
      </c>
      <c r="E16" s="10">
        <v>67832</v>
      </c>
      <c r="F16" s="3">
        <v>17.3</v>
      </c>
      <c r="G16" s="3">
        <v>21</v>
      </c>
      <c r="H16" s="2"/>
      <c r="I16" s="2" t="s">
        <v>20</v>
      </c>
    </row>
    <row r="17" spans="2:11" x14ac:dyDescent="0.25">
      <c r="B17" s="95"/>
      <c r="C17" s="94"/>
      <c r="D17" s="84" t="s">
        <v>143</v>
      </c>
      <c r="E17" s="10">
        <v>69508</v>
      </c>
      <c r="F17" s="3">
        <v>13.3</v>
      </c>
      <c r="G17" s="3">
        <v>16</v>
      </c>
      <c r="H17" s="2"/>
      <c r="I17" s="2" t="s">
        <v>231</v>
      </c>
    </row>
    <row r="18" spans="2:11" x14ac:dyDescent="0.25">
      <c r="B18" s="24"/>
      <c r="C18" s="33"/>
      <c r="D18" s="5"/>
      <c r="E18" s="5"/>
      <c r="F18" s="9"/>
      <c r="G18" s="9"/>
      <c r="H18" s="5"/>
      <c r="I18" s="5"/>
    </row>
    <row r="19" spans="2:11" x14ac:dyDescent="0.25">
      <c r="B19" s="93">
        <v>4</v>
      </c>
      <c r="C19" s="93">
        <v>12</v>
      </c>
      <c r="D19" s="84" t="s">
        <v>33</v>
      </c>
      <c r="E19" s="10">
        <v>58675</v>
      </c>
      <c r="F19" s="3">
        <v>9.6</v>
      </c>
      <c r="G19" s="3">
        <v>12</v>
      </c>
      <c r="H19" s="2"/>
      <c r="I19" s="2" t="s">
        <v>33</v>
      </c>
    </row>
    <row r="20" spans="2:11" x14ac:dyDescent="0.25">
      <c r="B20" s="94"/>
      <c r="C20" s="94"/>
      <c r="D20" s="84" t="s">
        <v>25</v>
      </c>
      <c r="E20" s="10">
        <v>123208</v>
      </c>
      <c r="F20" s="3">
        <v>13.5</v>
      </c>
      <c r="G20" s="3">
        <v>16</v>
      </c>
      <c r="H20" s="2"/>
      <c r="I20" s="2" t="s">
        <v>25</v>
      </c>
    </row>
    <row r="21" spans="2:11" x14ac:dyDescent="0.25">
      <c r="B21" s="94"/>
      <c r="C21" s="94"/>
      <c r="D21" s="84" t="s">
        <v>26</v>
      </c>
      <c r="E21" s="10">
        <v>15690</v>
      </c>
      <c r="F21" s="3">
        <v>16.8</v>
      </c>
      <c r="G21" s="3">
        <v>20</v>
      </c>
      <c r="H21" s="2"/>
      <c r="I21" s="2" t="s">
        <v>26</v>
      </c>
    </row>
    <row r="22" spans="2:11" x14ac:dyDescent="0.25">
      <c r="B22" s="95"/>
      <c r="C22" s="95"/>
      <c r="D22" s="84" t="s">
        <v>32</v>
      </c>
      <c r="E22" s="10">
        <v>62583</v>
      </c>
      <c r="F22" s="3">
        <v>11.5</v>
      </c>
      <c r="G22" s="3">
        <v>14</v>
      </c>
      <c r="H22" s="2"/>
      <c r="I22" s="2" t="s">
        <v>32</v>
      </c>
    </row>
    <row r="23" spans="2:11" x14ac:dyDescent="0.25">
      <c r="B23" s="24"/>
      <c r="C23" s="7"/>
      <c r="D23" s="5"/>
      <c r="E23" s="5"/>
      <c r="F23" s="9"/>
      <c r="G23" s="9"/>
      <c r="H23" s="5"/>
      <c r="I23" s="5"/>
    </row>
    <row r="24" spans="2:11" x14ac:dyDescent="0.25">
      <c r="B24" s="93">
        <v>5</v>
      </c>
      <c r="C24" s="93">
        <v>13</v>
      </c>
      <c r="D24" s="84" t="s">
        <v>34</v>
      </c>
      <c r="E24" s="10">
        <v>100359</v>
      </c>
      <c r="F24" s="3">
        <v>21</v>
      </c>
      <c r="G24" s="3">
        <v>25</v>
      </c>
      <c r="H24" s="2"/>
      <c r="I24" s="2" t="s">
        <v>245</v>
      </c>
    </row>
    <row r="25" spans="2:11" x14ac:dyDescent="0.25">
      <c r="B25" s="94"/>
      <c r="C25" s="94"/>
      <c r="D25" s="84" t="s">
        <v>23</v>
      </c>
      <c r="E25" s="10">
        <v>412744</v>
      </c>
      <c r="F25" s="3">
        <v>24.3</v>
      </c>
      <c r="G25" s="3"/>
      <c r="H25" s="2"/>
      <c r="I25" s="10" t="s">
        <v>23</v>
      </c>
    </row>
    <row r="26" spans="2:11" x14ac:dyDescent="0.25">
      <c r="B26" s="95"/>
      <c r="C26" s="95"/>
      <c r="D26" s="84" t="s">
        <v>28</v>
      </c>
      <c r="E26" s="10">
        <v>94501</v>
      </c>
      <c r="F26" s="3">
        <v>20.6</v>
      </c>
      <c r="G26" s="3"/>
      <c r="H26" s="2"/>
      <c r="I26" s="2" t="s">
        <v>242</v>
      </c>
    </row>
    <row r="27" spans="2:11" x14ac:dyDescent="0.25">
      <c r="B27" s="23"/>
      <c r="C27" s="32"/>
      <c r="D27" s="21"/>
      <c r="E27" s="21"/>
      <c r="F27" s="9"/>
      <c r="G27" s="9"/>
      <c r="H27" s="5"/>
      <c r="I27" s="5"/>
    </row>
    <row r="28" spans="2:11" x14ac:dyDescent="0.25">
      <c r="B28" s="110">
        <v>6</v>
      </c>
      <c r="C28" s="110">
        <v>1</v>
      </c>
      <c r="D28" s="85" t="s">
        <v>53</v>
      </c>
      <c r="E28" s="16">
        <v>52479</v>
      </c>
      <c r="F28" s="3">
        <v>20.3</v>
      </c>
      <c r="G28" s="3">
        <v>25</v>
      </c>
      <c r="H28" s="2"/>
      <c r="I28" s="2" t="s">
        <v>246</v>
      </c>
      <c r="K28">
        <f>148+28</f>
        <v>176</v>
      </c>
    </row>
    <row r="29" spans="2:11" x14ac:dyDescent="0.25">
      <c r="B29" s="111"/>
      <c r="C29" s="111"/>
      <c r="D29" s="85" t="s">
        <v>54</v>
      </c>
      <c r="E29" s="16">
        <v>57224</v>
      </c>
      <c r="F29" s="3">
        <v>18</v>
      </c>
      <c r="G29" s="3">
        <v>22</v>
      </c>
      <c r="H29" s="2"/>
      <c r="I29" s="2" t="s">
        <v>202</v>
      </c>
    </row>
    <row r="30" spans="2:11" x14ac:dyDescent="0.25">
      <c r="B30" s="111"/>
      <c r="C30" s="111"/>
      <c r="D30" s="86" t="s">
        <v>156</v>
      </c>
      <c r="E30" s="2"/>
      <c r="F30" s="3"/>
      <c r="G30" s="3"/>
      <c r="H30" s="2"/>
      <c r="I30" s="2"/>
    </row>
    <row r="31" spans="2:11" x14ac:dyDescent="0.25">
      <c r="B31" s="112"/>
      <c r="C31" s="112"/>
      <c r="D31" s="86" t="s">
        <v>157</v>
      </c>
      <c r="E31" s="2">
        <v>165642</v>
      </c>
      <c r="F31" s="3">
        <v>21</v>
      </c>
      <c r="G31" s="3">
        <v>25</v>
      </c>
      <c r="H31" s="2"/>
      <c r="I31" s="2" t="s">
        <v>243</v>
      </c>
    </row>
    <row r="32" spans="2:11" x14ac:dyDescent="0.25">
      <c r="B32" s="28"/>
      <c r="C32" s="34"/>
      <c r="D32" s="5"/>
      <c r="E32" s="5"/>
      <c r="F32" s="9"/>
      <c r="G32" s="9"/>
      <c r="H32" s="5"/>
      <c r="I32" s="5"/>
    </row>
    <row r="33" spans="2:9" x14ac:dyDescent="0.25">
      <c r="B33" s="110">
        <v>7</v>
      </c>
      <c r="C33" s="110">
        <v>2</v>
      </c>
      <c r="D33" s="8" t="s">
        <v>282</v>
      </c>
      <c r="E33" s="8"/>
      <c r="F33" s="17"/>
      <c r="G33" s="17"/>
      <c r="H33" s="8"/>
      <c r="I33" s="8"/>
    </row>
    <row r="34" spans="2:9" x14ac:dyDescent="0.25">
      <c r="B34" s="111"/>
      <c r="C34" s="111"/>
      <c r="D34" s="85" t="s">
        <v>61</v>
      </c>
      <c r="E34" s="16">
        <v>611188</v>
      </c>
      <c r="F34" s="3">
        <v>14.6</v>
      </c>
      <c r="G34" s="3">
        <v>18</v>
      </c>
      <c r="H34" s="2"/>
      <c r="I34" s="2" t="s">
        <v>61</v>
      </c>
    </row>
    <row r="35" spans="2:9" x14ac:dyDescent="0.25">
      <c r="B35" s="111"/>
      <c r="C35" s="111"/>
      <c r="D35" s="85" t="s">
        <v>139</v>
      </c>
      <c r="E35" s="2">
        <v>108018</v>
      </c>
      <c r="F35" s="3">
        <v>20.9</v>
      </c>
      <c r="G35" s="3">
        <v>25</v>
      </c>
      <c r="H35" s="2"/>
      <c r="I35" s="2" t="s">
        <v>139</v>
      </c>
    </row>
    <row r="36" spans="2:9" x14ac:dyDescent="0.25">
      <c r="B36" s="112"/>
      <c r="C36" s="112"/>
      <c r="D36" s="85" t="s">
        <v>27</v>
      </c>
      <c r="E36" s="2">
        <v>19045</v>
      </c>
      <c r="F36" s="3">
        <v>13.9</v>
      </c>
      <c r="G36" s="3">
        <v>17</v>
      </c>
      <c r="H36" s="2"/>
      <c r="I36" s="2" t="s">
        <v>247</v>
      </c>
    </row>
    <row r="37" spans="2:9" x14ac:dyDescent="0.25">
      <c r="B37" s="28"/>
      <c r="C37" s="34"/>
      <c r="D37" s="22"/>
      <c r="E37" s="22"/>
      <c r="F37" s="25"/>
      <c r="G37" s="25"/>
      <c r="H37" s="22"/>
      <c r="I37" s="22"/>
    </row>
    <row r="38" spans="2:9" x14ac:dyDescent="0.25">
      <c r="B38"/>
      <c r="C38"/>
      <c r="F38"/>
      <c r="G38"/>
    </row>
    <row r="39" spans="2:9" x14ac:dyDescent="0.25">
      <c r="B39"/>
      <c r="C39"/>
      <c r="F39"/>
      <c r="G39"/>
    </row>
    <row r="40" spans="2:9" x14ac:dyDescent="0.25">
      <c r="B40"/>
      <c r="C40"/>
      <c r="F40"/>
      <c r="G40"/>
    </row>
    <row r="41" spans="2:9" x14ac:dyDescent="0.25">
      <c r="B41"/>
      <c r="C41"/>
      <c r="F41"/>
      <c r="G41"/>
    </row>
    <row r="42" spans="2:9" x14ac:dyDescent="0.25">
      <c r="B42"/>
      <c r="C42"/>
      <c r="F42"/>
      <c r="G42"/>
    </row>
    <row r="43" spans="2:9" x14ac:dyDescent="0.25">
      <c r="B43"/>
      <c r="C43"/>
      <c r="F43"/>
      <c r="G43"/>
    </row>
    <row r="44" spans="2:9" x14ac:dyDescent="0.25">
      <c r="B44"/>
      <c r="C44"/>
      <c r="F44"/>
      <c r="G44"/>
    </row>
    <row r="45" spans="2:9" x14ac:dyDescent="0.25">
      <c r="B45"/>
      <c r="C45"/>
      <c r="F45"/>
      <c r="G45"/>
    </row>
    <row r="46" spans="2:9" x14ac:dyDescent="0.25">
      <c r="B46"/>
      <c r="C46"/>
      <c r="F46"/>
      <c r="G46"/>
    </row>
  </sheetData>
  <mergeCells count="24">
    <mergeCell ref="B14:B17"/>
    <mergeCell ref="I3:I4"/>
    <mergeCell ref="C28:C31"/>
    <mergeCell ref="B28:B31"/>
    <mergeCell ref="F3:F4"/>
    <mergeCell ref="G3:G4"/>
    <mergeCell ref="H3:H4"/>
    <mergeCell ref="C14:C17"/>
    <mergeCell ref="B2:I2"/>
    <mergeCell ref="B33:B36"/>
    <mergeCell ref="C33:C36"/>
    <mergeCell ref="B1:I1"/>
    <mergeCell ref="B19:B22"/>
    <mergeCell ref="C19:C22"/>
    <mergeCell ref="B24:B26"/>
    <mergeCell ref="C24:C26"/>
    <mergeCell ref="B3:B4"/>
    <mergeCell ref="C3:C4"/>
    <mergeCell ref="D3:D4"/>
    <mergeCell ref="E3:E4"/>
    <mergeCell ref="B5:B7"/>
    <mergeCell ref="C5:C7"/>
    <mergeCell ref="B9:B12"/>
    <mergeCell ref="C9:C12"/>
  </mergeCells>
  <dataValidations count="1">
    <dataValidation type="custom" allowBlank="1" showDropDown="1" sqref="E9 E12 E7 E19:E22 E15 E17 E24:E27">
      <formula1>AND(ISNUMBER(E7),(NOT(OR(NOT(ISERROR(DATEVALUE(E7))), AND(ISNUMBER(E7), LEFT(CELL("format", E7))="D")))))</formula1>
    </dataValidation>
  </dataValidation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79"/>
  <sheetViews>
    <sheetView topLeftCell="A99" workbookViewId="0">
      <selection activeCell="B112" sqref="B112"/>
    </sheetView>
  </sheetViews>
  <sheetFormatPr defaultRowHeight="13.8" x14ac:dyDescent="0.25"/>
  <cols>
    <col min="1" max="1" width="18.796875" bestFit="1" customWidth="1"/>
    <col min="2" max="2" width="51.5" bestFit="1" customWidth="1"/>
  </cols>
  <sheetData>
    <row r="3" spans="1:2" x14ac:dyDescent="0.25">
      <c r="A3" t="s">
        <v>130</v>
      </c>
      <c r="B3" t="s">
        <v>396</v>
      </c>
    </row>
    <row r="4" spans="1:2" x14ac:dyDescent="0.25">
      <c r="A4" t="s">
        <v>129</v>
      </c>
    </row>
    <row r="5" spans="1:2" x14ac:dyDescent="0.25">
      <c r="A5" t="s">
        <v>128</v>
      </c>
    </row>
    <row r="6" spans="1:2" x14ac:dyDescent="0.25">
      <c r="A6" t="s">
        <v>127</v>
      </c>
    </row>
    <row r="7" spans="1:2" x14ac:dyDescent="0.25">
      <c r="A7" t="s">
        <v>126</v>
      </c>
    </row>
    <row r="8" spans="1:2" x14ac:dyDescent="0.25">
      <c r="A8" t="s">
        <v>125</v>
      </c>
    </row>
    <row r="9" spans="1:2" x14ac:dyDescent="0.25">
      <c r="A9" t="s">
        <v>124</v>
      </c>
    </row>
    <row r="10" spans="1:2" x14ac:dyDescent="0.25">
      <c r="A10" t="s">
        <v>154</v>
      </c>
    </row>
    <row r="11" spans="1:2" x14ac:dyDescent="0.25">
      <c r="A11" t="s">
        <v>123</v>
      </c>
    </row>
    <row r="12" spans="1:2" x14ac:dyDescent="0.25">
      <c r="A12" t="s">
        <v>122</v>
      </c>
    </row>
    <row r="13" spans="1:2" x14ac:dyDescent="0.25">
      <c r="A13" t="s">
        <v>121</v>
      </c>
    </row>
    <row r="14" spans="1:2" x14ac:dyDescent="0.25">
      <c r="A14" t="s">
        <v>120</v>
      </c>
    </row>
    <row r="15" spans="1:2" x14ac:dyDescent="0.25">
      <c r="A15" t="s">
        <v>119</v>
      </c>
    </row>
    <row r="16" spans="1:2" x14ac:dyDescent="0.25">
      <c r="A16" t="s">
        <v>118</v>
      </c>
    </row>
    <row r="17" spans="1:2" x14ac:dyDescent="0.25">
      <c r="A17" t="s">
        <v>117</v>
      </c>
    </row>
    <row r="18" spans="1:2" x14ac:dyDescent="0.25">
      <c r="A18" t="s">
        <v>116</v>
      </c>
    </row>
    <row r="19" spans="1:2" x14ac:dyDescent="0.25">
      <c r="A19" t="s">
        <v>115</v>
      </c>
    </row>
    <row r="20" spans="1:2" x14ac:dyDescent="0.25">
      <c r="A20" t="s">
        <v>114</v>
      </c>
    </row>
    <row r="21" spans="1:2" x14ac:dyDescent="0.25">
      <c r="A21" t="s">
        <v>113</v>
      </c>
    </row>
    <row r="22" spans="1:2" x14ac:dyDescent="0.25">
      <c r="A22" t="s">
        <v>112</v>
      </c>
    </row>
    <row r="23" spans="1:2" x14ac:dyDescent="0.25">
      <c r="A23" t="s">
        <v>111</v>
      </c>
    </row>
    <row r="24" spans="1:2" x14ac:dyDescent="0.25">
      <c r="A24" t="s">
        <v>110</v>
      </c>
    </row>
    <row r="25" spans="1:2" x14ac:dyDescent="0.25">
      <c r="A25" t="s">
        <v>232</v>
      </c>
    </row>
    <row r="26" spans="1:2" x14ac:dyDescent="0.25">
      <c r="A26" t="s">
        <v>281</v>
      </c>
    </row>
    <row r="27" spans="1:2" x14ac:dyDescent="0.25">
      <c r="A27" t="s">
        <v>109</v>
      </c>
      <c r="B27" t="s">
        <v>397</v>
      </c>
    </row>
    <row r="28" spans="1:2" x14ac:dyDescent="0.25">
      <c r="A28" t="s">
        <v>108</v>
      </c>
    </row>
    <row r="29" spans="1:2" x14ac:dyDescent="0.25">
      <c r="A29" t="s">
        <v>107</v>
      </c>
    </row>
    <row r="30" spans="1:2" x14ac:dyDescent="0.25">
      <c r="A30" t="s">
        <v>106</v>
      </c>
    </row>
    <row r="31" spans="1:2" x14ac:dyDescent="0.25">
      <c r="A31" t="s">
        <v>105</v>
      </c>
    </row>
    <row r="32" spans="1:2" x14ac:dyDescent="0.25">
      <c r="A32" t="s">
        <v>104</v>
      </c>
    </row>
    <row r="33" spans="1:2" x14ac:dyDescent="0.25">
      <c r="A33" t="s">
        <v>343</v>
      </c>
    </row>
    <row r="34" spans="1:2" x14ac:dyDescent="0.25">
      <c r="A34" t="s">
        <v>103</v>
      </c>
    </row>
    <row r="35" spans="1:2" x14ac:dyDescent="0.25">
      <c r="A35" t="s">
        <v>102</v>
      </c>
    </row>
    <row r="36" spans="1:2" x14ac:dyDescent="0.25">
      <c r="A36" t="s">
        <v>101</v>
      </c>
    </row>
    <row r="37" spans="1:2" x14ac:dyDescent="0.25">
      <c r="A37" t="s">
        <v>100</v>
      </c>
    </row>
    <row r="38" spans="1:2" x14ac:dyDescent="0.25">
      <c r="A38" t="s">
        <v>99</v>
      </c>
    </row>
    <row r="39" spans="1:2" x14ac:dyDescent="0.25">
      <c r="A39" t="s">
        <v>98</v>
      </c>
    </row>
    <row r="40" spans="1:2" x14ac:dyDescent="0.25">
      <c r="A40" t="s">
        <v>97</v>
      </c>
    </row>
    <row r="41" spans="1:2" x14ac:dyDescent="0.25">
      <c r="A41" t="s">
        <v>96</v>
      </c>
    </row>
    <row r="42" spans="1:2" x14ac:dyDescent="0.25">
      <c r="A42" t="s">
        <v>95</v>
      </c>
    </row>
    <row r="43" spans="1:2" x14ac:dyDescent="0.25">
      <c r="A43" t="s">
        <v>94</v>
      </c>
    </row>
    <row r="44" spans="1:2" x14ac:dyDescent="0.25">
      <c r="A44" t="s">
        <v>93</v>
      </c>
      <c r="B44" t="s">
        <v>400</v>
      </c>
    </row>
    <row r="45" spans="1:2" x14ac:dyDescent="0.25">
      <c r="A45" t="s">
        <v>92</v>
      </c>
    </row>
    <row r="46" spans="1:2" x14ac:dyDescent="0.25">
      <c r="A46" t="s">
        <v>91</v>
      </c>
    </row>
    <row r="47" spans="1:2" x14ac:dyDescent="0.25">
      <c r="A47" t="s">
        <v>90</v>
      </c>
    </row>
    <row r="48" spans="1:2" x14ac:dyDescent="0.25">
      <c r="A48" t="s">
        <v>89</v>
      </c>
    </row>
    <row r="49" spans="1:2" x14ac:dyDescent="0.25">
      <c r="A49" t="s">
        <v>88</v>
      </c>
    </row>
    <row r="50" spans="1:2" x14ac:dyDescent="0.25">
      <c r="A50" t="s">
        <v>20</v>
      </c>
    </row>
    <row r="51" spans="1:2" x14ac:dyDescent="0.25">
      <c r="A51" t="s">
        <v>152</v>
      </c>
    </row>
    <row r="52" spans="1:2" x14ac:dyDescent="0.25">
      <c r="A52" t="s">
        <v>153</v>
      </c>
    </row>
    <row r="53" spans="1:2" x14ac:dyDescent="0.25">
      <c r="A53" t="s">
        <v>87</v>
      </c>
    </row>
    <row r="54" spans="1:2" x14ac:dyDescent="0.25">
      <c r="A54" t="s">
        <v>86</v>
      </c>
    </row>
    <row r="55" spans="1:2" x14ac:dyDescent="0.25">
      <c r="A55" t="s">
        <v>85</v>
      </c>
    </row>
    <row r="56" spans="1:2" x14ac:dyDescent="0.25">
      <c r="A56" t="s">
        <v>84</v>
      </c>
    </row>
    <row r="57" spans="1:2" x14ac:dyDescent="0.25">
      <c r="A57" t="s">
        <v>83</v>
      </c>
      <c r="B57" t="s">
        <v>353</v>
      </c>
    </row>
    <row r="58" spans="1:2" x14ac:dyDescent="0.25">
      <c r="A58" t="s">
        <v>82</v>
      </c>
    </row>
    <row r="59" spans="1:2" x14ac:dyDescent="0.25">
      <c r="A59" t="s">
        <v>81</v>
      </c>
    </row>
    <row r="60" spans="1:2" x14ac:dyDescent="0.25">
      <c r="A60" t="s">
        <v>80</v>
      </c>
    </row>
    <row r="61" spans="1:2" x14ac:dyDescent="0.25">
      <c r="A61" t="s">
        <v>79</v>
      </c>
    </row>
    <row r="62" spans="1:2" x14ac:dyDescent="0.25">
      <c r="A62" t="s">
        <v>78</v>
      </c>
    </row>
    <row r="63" spans="1:2" x14ac:dyDescent="0.25">
      <c r="A63" t="s">
        <v>77</v>
      </c>
    </row>
    <row r="64" spans="1:2" x14ac:dyDescent="0.25">
      <c r="A64" t="s">
        <v>76</v>
      </c>
    </row>
    <row r="65" spans="1:2" x14ac:dyDescent="0.25">
      <c r="A65" t="s">
        <v>75</v>
      </c>
    </row>
    <row r="66" spans="1:2" x14ac:dyDescent="0.25">
      <c r="A66" t="s">
        <v>250</v>
      </c>
    </row>
    <row r="67" spans="1:2" x14ac:dyDescent="0.25">
      <c r="A67" t="s">
        <v>74</v>
      </c>
    </row>
    <row r="68" spans="1:2" x14ac:dyDescent="0.25">
      <c r="A68" t="s">
        <v>73</v>
      </c>
    </row>
    <row r="69" spans="1:2" x14ac:dyDescent="0.25">
      <c r="A69" t="s">
        <v>251</v>
      </c>
    </row>
    <row r="70" spans="1:2" x14ac:dyDescent="0.25">
      <c r="A70" t="s">
        <v>72</v>
      </c>
    </row>
    <row r="71" spans="1:2" x14ac:dyDescent="0.25">
      <c r="A71" t="s">
        <v>71</v>
      </c>
    </row>
    <row r="72" spans="1:2" x14ac:dyDescent="0.25">
      <c r="A72" t="s">
        <v>70</v>
      </c>
    </row>
    <row r="73" spans="1:2" x14ac:dyDescent="0.25">
      <c r="A73" t="s">
        <v>69</v>
      </c>
      <c r="B73" t="s">
        <v>354</v>
      </c>
    </row>
    <row r="74" spans="1:2" x14ac:dyDescent="0.25">
      <c r="A74" t="s">
        <v>68</v>
      </c>
    </row>
    <row r="75" spans="1:2" x14ac:dyDescent="0.25">
      <c r="A75" t="s">
        <v>67</v>
      </c>
    </row>
    <row r="76" spans="1:2" x14ac:dyDescent="0.25">
      <c r="A76" t="s">
        <v>66</v>
      </c>
      <c r="B76" t="s">
        <v>355</v>
      </c>
    </row>
    <row r="77" spans="1:2" x14ac:dyDescent="0.25">
      <c r="A77" t="s">
        <v>65</v>
      </c>
    </row>
    <row r="78" spans="1:2" x14ac:dyDescent="0.25">
      <c r="A78" t="s">
        <v>64</v>
      </c>
    </row>
    <row r="79" spans="1:2" x14ac:dyDescent="0.25">
      <c r="A79" t="s">
        <v>63</v>
      </c>
      <c r="B79" t="s">
        <v>356</v>
      </c>
    </row>
    <row r="80" spans="1:2" x14ac:dyDescent="0.25">
      <c r="A80" t="s">
        <v>62</v>
      </c>
      <c r="B80" t="s">
        <v>357</v>
      </c>
    </row>
    <row r="81" spans="1:2" x14ac:dyDescent="0.25">
      <c r="A81" t="s">
        <v>61</v>
      </c>
      <c r="B81" t="s">
        <v>358</v>
      </c>
    </row>
    <row r="82" spans="1:2" x14ac:dyDescent="0.25">
      <c r="A82" t="s">
        <v>60</v>
      </c>
      <c r="B82" t="s">
        <v>359</v>
      </c>
    </row>
    <row r="83" spans="1:2" x14ac:dyDescent="0.25">
      <c r="A83" t="s">
        <v>59</v>
      </c>
      <c r="B83" t="s">
        <v>360</v>
      </c>
    </row>
    <row r="84" spans="1:2" x14ac:dyDescent="0.25">
      <c r="A84" t="s">
        <v>58</v>
      </c>
      <c r="B84" t="s">
        <v>361</v>
      </c>
    </row>
    <row r="85" spans="1:2" x14ac:dyDescent="0.25">
      <c r="A85" t="s">
        <v>57</v>
      </c>
      <c r="B85" t="s">
        <v>362</v>
      </c>
    </row>
    <row r="86" spans="1:2" x14ac:dyDescent="0.25">
      <c r="A86" t="s">
        <v>56</v>
      </c>
      <c r="B86" t="s">
        <v>363</v>
      </c>
    </row>
    <row r="87" spans="1:2" x14ac:dyDescent="0.25">
      <c r="A87" t="s">
        <v>55</v>
      </c>
      <c r="B87" t="s">
        <v>364</v>
      </c>
    </row>
    <row r="88" spans="1:2" x14ac:dyDescent="0.25">
      <c r="A88" t="s">
        <v>54</v>
      </c>
      <c r="B88" t="s">
        <v>365</v>
      </c>
    </row>
    <row r="89" spans="1:2" x14ac:dyDescent="0.25">
      <c r="A89" t="s">
        <v>53</v>
      </c>
      <c r="B89" t="s">
        <v>366</v>
      </c>
    </row>
    <row r="90" spans="1:2" x14ac:dyDescent="0.25">
      <c r="A90" t="s">
        <v>155</v>
      </c>
      <c r="B90" t="s">
        <v>367</v>
      </c>
    </row>
    <row r="91" spans="1:2" x14ac:dyDescent="0.25">
      <c r="A91" t="s">
        <v>52</v>
      </c>
      <c r="B91" t="s">
        <v>353</v>
      </c>
    </row>
    <row r="92" spans="1:2" x14ac:dyDescent="0.25">
      <c r="A92" t="s">
        <v>139</v>
      </c>
      <c r="B92" t="s">
        <v>368</v>
      </c>
    </row>
    <row r="93" spans="1:2" x14ac:dyDescent="0.25">
      <c r="A93" t="s">
        <v>51</v>
      </c>
      <c r="B93" t="s">
        <v>398</v>
      </c>
    </row>
    <row r="94" spans="1:2" x14ac:dyDescent="0.25">
      <c r="A94" t="s">
        <v>344</v>
      </c>
      <c r="B94" t="s">
        <v>369</v>
      </c>
    </row>
    <row r="95" spans="1:2" x14ac:dyDescent="0.25">
      <c r="A95" t="s">
        <v>206</v>
      </c>
      <c r="B95" t="s">
        <v>370</v>
      </c>
    </row>
    <row r="96" spans="1:2" x14ac:dyDescent="0.25">
      <c r="A96" t="s">
        <v>345</v>
      </c>
      <c r="B96" t="s">
        <v>371</v>
      </c>
    </row>
    <row r="97" spans="1:2" x14ac:dyDescent="0.25">
      <c r="A97" t="s">
        <v>346</v>
      </c>
      <c r="B97" t="s">
        <v>371</v>
      </c>
    </row>
    <row r="98" spans="1:2" x14ac:dyDescent="0.25">
      <c r="A98" t="s">
        <v>255</v>
      </c>
      <c r="B98" t="s">
        <v>371</v>
      </c>
    </row>
    <row r="99" spans="1:2" x14ac:dyDescent="0.25">
      <c r="A99" t="s">
        <v>157</v>
      </c>
      <c r="B99" t="s">
        <v>372</v>
      </c>
    </row>
    <row r="100" spans="1:2" x14ac:dyDescent="0.25">
      <c r="A100" t="s">
        <v>347</v>
      </c>
    </row>
    <row r="101" spans="1:2" x14ac:dyDescent="0.25">
      <c r="A101" t="s">
        <v>156</v>
      </c>
      <c r="B101" t="s">
        <v>364</v>
      </c>
    </row>
    <row r="102" spans="1:2" x14ac:dyDescent="0.25">
      <c r="A102" t="s">
        <v>280</v>
      </c>
      <c r="B102" t="s">
        <v>373</v>
      </c>
    </row>
    <row r="103" spans="1:2" x14ac:dyDescent="0.25">
      <c r="A103" t="s">
        <v>282</v>
      </c>
    </row>
    <row r="104" spans="1:2" x14ac:dyDescent="0.25">
      <c r="A104" t="s">
        <v>50</v>
      </c>
      <c r="B104" t="s">
        <v>399</v>
      </c>
    </row>
    <row r="105" spans="1:2" x14ac:dyDescent="0.25">
      <c r="A105" t="s">
        <v>149</v>
      </c>
      <c r="B105" t="s">
        <v>401</v>
      </c>
    </row>
    <row r="106" spans="1:2" x14ac:dyDescent="0.25">
      <c r="A106" t="s">
        <v>236</v>
      </c>
    </row>
    <row r="107" spans="1:2" x14ac:dyDescent="0.25">
      <c r="A107" t="s">
        <v>13</v>
      </c>
    </row>
    <row r="108" spans="1:2" x14ac:dyDescent="0.25">
      <c r="A108" t="s">
        <v>49</v>
      </c>
      <c r="B108" t="s">
        <v>353</v>
      </c>
    </row>
    <row r="109" spans="1:2" x14ac:dyDescent="0.25">
      <c r="A109" t="s">
        <v>48</v>
      </c>
    </row>
    <row r="110" spans="1:2" x14ac:dyDescent="0.25">
      <c r="A110" t="s">
        <v>47</v>
      </c>
      <c r="B110" t="s">
        <v>353</v>
      </c>
    </row>
    <row r="111" spans="1:2" x14ac:dyDescent="0.25">
      <c r="A111" t="s">
        <v>46</v>
      </c>
      <c r="B111" t="s">
        <v>353</v>
      </c>
    </row>
    <row r="112" spans="1:2" x14ac:dyDescent="0.25">
      <c r="A112" t="s">
        <v>45</v>
      </c>
    </row>
    <row r="113" spans="1:2" x14ac:dyDescent="0.25">
      <c r="A113" t="s">
        <v>44</v>
      </c>
    </row>
    <row r="114" spans="1:2" x14ac:dyDescent="0.25">
      <c r="A114" t="s">
        <v>43</v>
      </c>
    </row>
    <row r="115" spans="1:2" x14ac:dyDescent="0.25">
      <c r="A115" t="s">
        <v>42</v>
      </c>
    </row>
    <row r="116" spans="1:2" x14ac:dyDescent="0.25">
      <c r="A116" t="s">
        <v>41</v>
      </c>
      <c r="B116" t="s">
        <v>353</v>
      </c>
    </row>
    <row r="117" spans="1:2" x14ac:dyDescent="0.25">
      <c r="A117" t="s">
        <v>40</v>
      </c>
      <c r="B117" t="s">
        <v>353</v>
      </c>
    </row>
    <row r="118" spans="1:2" x14ac:dyDescent="0.25">
      <c r="A118" t="s">
        <v>39</v>
      </c>
    </row>
    <row r="119" spans="1:2" x14ac:dyDescent="0.25">
      <c r="A119" t="s">
        <v>38</v>
      </c>
    </row>
    <row r="120" spans="1:2" x14ac:dyDescent="0.25">
      <c r="A120" t="s">
        <v>37</v>
      </c>
    </row>
    <row r="121" spans="1:2" x14ac:dyDescent="0.25">
      <c r="A121" t="s">
        <v>36</v>
      </c>
    </row>
    <row r="122" spans="1:2" x14ac:dyDescent="0.25">
      <c r="A122" t="s">
        <v>150</v>
      </c>
    </row>
    <row r="123" spans="1:2" x14ac:dyDescent="0.25">
      <c r="A123" t="s">
        <v>234</v>
      </c>
    </row>
    <row r="124" spans="1:2" x14ac:dyDescent="0.25">
      <c r="A124" t="s">
        <v>235</v>
      </c>
    </row>
    <row r="125" spans="1:2" x14ac:dyDescent="0.25">
      <c r="A125" t="s">
        <v>348</v>
      </c>
    </row>
    <row r="126" spans="1:2" x14ac:dyDescent="0.25">
      <c r="A126" t="s">
        <v>241</v>
      </c>
      <c r="B126" t="s">
        <v>353</v>
      </c>
    </row>
    <row r="127" spans="1:2" x14ac:dyDescent="0.25">
      <c r="A127" t="s">
        <v>35</v>
      </c>
      <c r="B127" t="s">
        <v>374</v>
      </c>
    </row>
    <row r="128" spans="1:2" x14ac:dyDescent="0.25">
      <c r="A128" t="s">
        <v>34</v>
      </c>
      <c r="B128" t="s">
        <v>374</v>
      </c>
    </row>
    <row r="129" spans="1:2" x14ac:dyDescent="0.25">
      <c r="A129" t="s">
        <v>33</v>
      </c>
      <c r="B129" t="s">
        <v>375</v>
      </c>
    </row>
    <row r="130" spans="1:2" x14ac:dyDescent="0.25">
      <c r="A130" t="s">
        <v>32</v>
      </c>
      <c r="B130" t="s">
        <v>376</v>
      </c>
    </row>
    <row r="131" spans="1:2" x14ac:dyDescent="0.25">
      <c r="A131" t="s">
        <v>31</v>
      </c>
      <c r="B131" t="s">
        <v>377</v>
      </c>
    </row>
    <row r="132" spans="1:2" x14ac:dyDescent="0.25">
      <c r="A132" t="s">
        <v>230</v>
      </c>
      <c r="B132" t="s">
        <v>378</v>
      </c>
    </row>
    <row r="133" spans="1:2" x14ac:dyDescent="0.25">
      <c r="A133" t="s">
        <v>30</v>
      </c>
      <c r="B133" t="s">
        <v>379</v>
      </c>
    </row>
    <row r="134" spans="1:2" x14ac:dyDescent="0.25">
      <c r="A134" t="s">
        <v>29</v>
      </c>
      <c r="B134" t="s">
        <v>379</v>
      </c>
    </row>
    <row r="135" spans="1:2" x14ac:dyDescent="0.25">
      <c r="A135" t="s">
        <v>28</v>
      </c>
      <c r="B135" t="s">
        <v>379</v>
      </c>
    </row>
    <row r="136" spans="1:2" x14ac:dyDescent="0.25">
      <c r="A136" t="s">
        <v>27</v>
      </c>
      <c r="B136" t="s">
        <v>353</v>
      </c>
    </row>
    <row r="137" spans="1:2" x14ac:dyDescent="0.25">
      <c r="A137" t="s">
        <v>26</v>
      </c>
      <c r="B137" t="s">
        <v>380</v>
      </c>
    </row>
    <row r="138" spans="1:2" x14ac:dyDescent="0.25">
      <c r="A138" t="s">
        <v>25</v>
      </c>
      <c r="B138" t="s">
        <v>381</v>
      </c>
    </row>
    <row r="139" spans="1:2" x14ac:dyDescent="0.25">
      <c r="A139" t="s">
        <v>143</v>
      </c>
      <c r="B139" t="s">
        <v>379</v>
      </c>
    </row>
    <row r="140" spans="1:2" x14ac:dyDescent="0.25">
      <c r="A140" t="s">
        <v>24</v>
      </c>
      <c r="B140" t="s">
        <v>379</v>
      </c>
    </row>
    <row r="141" spans="1:2" x14ac:dyDescent="0.25">
      <c r="A141" t="s">
        <v>23</v>
      </c>
      <c r="B141" t="s">
        <v>379</v>
      </c>
    </row>
    <row r="142" spans="1:2" x14ac:dyDescent="0.25">
      <c r="A142" t="s">
        <v>22</v>
      </c>
      <c r="B142" t="s">
        <v>382</v>
      </c>
    </row>
    <row r="143" spans="1:2" x14ac:dyDescent="0.25">
      <c r="A143" t="s">
        <v>21</v>
      </c>
      <c r="B143" t="s">
        <v>383</v>
      </c>
    </row>
    <row r="144" spans="1:2" x14ac:dyDescent="0.25">
      <c r="A144" t="s">
        <v>20</v>
      </c>
      <c r="B144" t="s">
        <v>384</v>
      </c>
    </row>
    <row r="145" spans="1:2" x14ac:dyDescent="0.25">
      <c r="A145" t="s">
        <v>19</v>
      </c>
      <c r="B145" t="s">
        <v>385</v>
      </c>
    </row>
    <row r="146" spans="1:2" x14ac:dyDescent="0.25">
      <c r="A146" t="s">
        <v>145</v>
      </c>
    </row>
    <row r="147" spans="1:2" x14ac:dyDescent="0.25">
      <c r="A147" t="s">
        <v>18</v>
      </c>
    </row>
    <row r="148" spans="1:2" x14ac:dyDescent="0.25">
      <c r="A148" t="s">
        <v>17</v>
      </c>
      <c r="B148" t="s">
        <v>386</v>
      </c>
    </row>
    <row r="149" spans="1:2" x14ac:dyDescent="0.25">
      <c r="A149" t="s">
        <v>16</v>
      </c>
      <c r="B149" t="s">
        <v>387</v>
      </c>
    </row>
    <row r="150" spans="1:2" x14ac:dyDescent="0.25">
      <c r="A150" t="s">
        <v>15</v>
      </c>
      <c r="B150" t="s">
        <v>388</v>
      </c>
    </row>
    <row r="151" spans="1:2" x14ac:dyDescent="0.25">
      <c r="A151" t="s">
        <v>349</v>
      </c>
      <c r="B151" t="s">
        <v>389</v>
      </c>
    </row>
    <row r="152" spans="1:2" ht="27.6" x14ac:dyDescent="0.25">
      <c r="A152" t="s">
        <v>14</v>
      </c>
      <c r="B152" s="69" t="s">
        <v>390</v>
      </c>
    </row>
    <row r="153" spans="1:2" ht="27.6" x14ac:dyDescent="0.25">
      <c r="A153" t="s">
        <v>12</v>
      </c>
      <c r="B153" s="69" t="s">
        <v>391</v>
      </c>
    </row>
    <row r="154" spans="1:2" ht="27.6" x14ac:dyDescent="0.25">
      <c r="A154" t="s">
        <v>11</v>
      </c>
      <c r="B154" s="69" t="s">
        <v>392</v>
      </c>
    </row>
    <row r="155" spans="1:2" x14ac:dyDescent="0.25">
      <c r="A155" t="s">
        <v>10</v>
      </c>
      <c r="B155" t="s">
        <v>313</v>
      </c>
    </row>
    <row r="156" spans="1:2" x14ac:dyDescent="0.25">
      <c r="A156" t="s">
        <v>9</v>
      </c>
      <c r="B156" t="s">
        <v>314</v>
      </c>
    </row>
    <row r="157" spans="1:2" x14ac:dyDescent="0.25">
      <c r="A157" t="s">
        <v>8</v>
      </c>
      <c r="B157" t="s">
        <v>315</v>
      </c>
    </row>
    <row r="158" spans="1:2" x14ac:dyDescent="0.25">
      <c r="A158" t="s">
        <v>158</v>
      </c>
      <c r="B158" t="s">
        <v>316</v>
      </c>
    </row>
    <row r="159" spans="1:2" x14ac:dyDescent="0.25">
      <c r="A159" t="s">
        <v>159</v>
      </c>
      <c r="B159" t="s">
        <v>316</v>
      </c>
    </row>
    <row r="160" spans="1:2" x14ac:dyDescent="0.25">
      <c r="A160" t="s">
        <v>160</v>
      </c>
      <c r="B160" t="s">
        <v>317</v>
      </c>
    </row>
    <row r="161" spans="1:2" x14ac:dyDescent="0.25">
      <c r="A161" t="s">
        <v>161</v>
      </c>
      <c r="B161" t="s">
        <v>311</v>
      </c>
    </row>
    <row r="162" spans="1:2" x14ac:dyDescent="0.25">
      <c r="A162" t="s">
        <v>309</v>
      </c>
      <c r="B162" t="s">
        <v>318</v>
      </c>
    </row>
    <row r="163" spans="1:2" x14ac:dyDescent="0.25">
      <c r="A163" t="s">
        <v>7</v>
      </c>
      <c r="B163" t="s">
        <v>319</v>
      </c>
    </row>
    <row r="164" spans="1:2" x14ac:dyDescent="0.25">
      <c r="A164" t="s">
        <v>6</v>
      </c>
      <c r="B164" t="s">
        <v>320</v>
      </c>
    </row>
    <row r="165" spans="1:2" x14ac:dyDescent="0.25">
      <c r="A165" t="s">
        <v>5</v>
      </c>
      <c r="B165" t="s">
        <v>321</v>
      </c>
    </row>
    <row r="166" spans="1:2" x14ac:dyDescent="0.25">
      <c r="A166" t="s">
        <v>4</v>
      </c>
      <c r="B166" t="s">
        <v>322</v>
      </c>
    </row>
    <row r="167" spans="1:2" x14ac:dyDescent="0.25">
      <c r="A167" t="s">
        <v>3</v>
      </c>
      <c r="B167" t="s">
        <v>323</v>
      </c>
    </row>
    <row r="168" spans="1:2" x14ac:dyDescent="0.25">
      <c r="A168" t="s">
        <v>2</v>
      </c>
      <c r="B168" t="s">
        <v>324</v>
      </c>
    </row>
    <row r="169" spans="1:2" x14ac:dyDescent="0.25">
      <c r="A169" t="s">
        <v>1</v>
      </c>
      <c r="B169" t="s">
        <v>324</v>
      </c>
    </row>
    <row r="170" spans="1:2" x14ac:dyDescent="0.25">
      <c r="A170" t="s">
        <v>0</v>
      </c>
      <c r="B170" t="s">
        <v>325</v>
      </c>
    </row>
    <row r="171" spans="1:2" x14ac:dyDescent="0.25">
      <c r="A171" t="s">
        <v>146</v>
      </c>
      <c r="B171" t="s">
        <v>393</v>
      </c>
    </row>
    <row r="172" spans="1:2" x14ac:dyDescent="0.25">
      <c r="A172" t="s">
        <v>21</v>
      </c>
      <c r="B172" t="s">
        <v>263</v>
      </c>
    </row>
    <row r="173" spans="1:2" x14ac:dyDescent="0.25">
      <c r="A173" t="s">
        <v>252</v>
      </c>
      <c r="B173" t="s">
        <v>394</v>
      </c>
    </row>
    <row r="174" spans="1:2" x14ac:dyDescent="0.25">
      <c r="A174" t="s">
        <v>35</v>
      </c>
      <c r="B174" t="s">
        <v>336</v>
      </c>
    </row>
    <row r="175" spans="1:2" x14ac:dyDescent="0.25">
      <c r="A175" t="s">
        <v>253</v>
      </c>
      <c r="B175" t="s">
        <v>338</v>
      </c>
    </row>
    <row r="176" spans="1:2" x14ac:dyDescent="0.25">
      <c r="A176" t="s">
        <v>350</v>
      </c>
      <c r="B176" t="s">
        <v>395</v>
      </c>
    </row>
    <row r="177" spans="1:2" x14ac:dyDescent="0.25">
      <c r="A177" t="s">
        <v>351</v>
      </c>
      <c r="B177" t="s">
        <v>341</v>
      </c>
    </row>
    <row r="178" spans="1:2" x14ac:dyDescent="0.25">
      <c r="A178" t="s">
        <v>352</v>
      </c>
      <c r="B178" t="s">
        <v>340</v>
      </c>
    </row>
    <row r="179" spans="1:2" x14ac:dyDescent="0.25">
      <c r="A179" t="s">
        <v>257</v>
      </c>
      <c r="B179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Tee 11h00</vt:lpstr>
      <vt:lpstr>Tee 5h30</vt:lpstr>
      <vt:lpstr>DS- Title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Muongthanh</dc:creator>
  <cp:lastModifiedBy>Administrator</cp:lastModifiedBy>
  <dcterms:created xsi:type="dcterms:W3CDTF">2026-10-03T06:57:32Z</dcterms:created>
  <dcterms:modified xsi:type="dcterms:W3CDTF">2026-10-24T14:25:07Z</dcterms:modified>
</cp:coreProperties>
</file>